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izen\Documents\tese\"/>
    </mc:Choice>
  </mc:AlternateContent>
  <xr:revisionPtr revIDLastSave="0" documentId="13_ncr:1_{1D555C1C-4736-4D18-B268-97CC52FBDB1D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1_ESTRUTURA" sheetId="1" state="hidden" r:id="rId1"/>
    <sheet name="2_REFERENCIAS" sheetId="2" r:id="rId2"/>
    <sheet name="3_SETUPS" sheetId="3" r:id="rId3"/>
    <sheet name="5_PROCURA" sheetId="4" r:id="rId4"/>
    <sheet name="6_FERIAD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2" i="2" l="1"/>
  <c r="R191" i="2"/>
  <c r="R190" i="2"/>
  <c r="R189" i="2"/>
  <c r="R180" i="2"/>
  <c r="R179" i="2"/>
  <c r="R178" i="2"/>
  <c r="R177" i="2"/>
  <c r="R173" i="2"/>
  <c r="R172" i="2"/>
  <c r="R171" i="2"/>
  <c r="R170" i="2"/>
  <c r="R169" i="2"/>
  <c r="R167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7" i="2"/>
  <c r="R66" i="2"/>
  <c r="R65" i="2"/>
  <c r="R64" i="2"/>
  <c r="R63" i="2"/>
  <c r="R61" i="2"/>
  <c r="R60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0" i="2"/>
  <c r="R19" i="2"/>
  <c r="R18" i="2"/>
  <c r="R16" i="2"/>
  <c r="R13" i="2"/>
  <c r="R12" i="2"/>
  <c r="R11" i="2"/>
  <c r="R10" i="2"/>
  <c r="R9" i="2"/>
  <c r="R8" i="2"/>
  <c r="R7" i="2"/>
  <c r="R6" i="2"/>
  <c r="R5" i="2"/>
  <c r="B34" i="1"/>
  <c r="B30" i="1"/>
  <c r="B27" i="1"/>
  <c r="B21" i="1"/>
  <c r="B18" i="1"/>
  <c r="B13" i="1"/>
  <c r="B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  <author>Kaizen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Código único da referência (ex: ref_001 ou código real do ERP)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Nome descritivo (ex: Bolo Chocolate 500g)</t>
        </r>
      </text>
    </comment>
    <comment ref="E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Código da família (ver aba 3_FAMILIAS)</t>
        </r>
      </text>
    </comment>
    <comment ref="F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Sim/Não — se está no plano mensal pós Mix Ideal</t>
        </r>
      </text>
    </comment>
    <comment ref="G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Sim/Não — se é produzível em L1</t>
        </r>
      </text>
    </comment>
    <comment ref="H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Tempo em produção L1 (minutos por lote)</t>
        </r>
      </text>
    </comment>
    <comment ref="I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J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K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Sim/Não — se é produzível em L2</t>
        </r>
      </text>
    </comment>
    <comment ref="L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Tempo em produção L1 (minutos por lote)</t>
        </r>
      </text>
    </comment>
    <comment ref="M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Tempo em acabamento+embalamento L1 (minutos por lote)</t>
        </r>
      </text>
    </comment>
    <comment ref="N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O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L2</t>
        </r>
      </text>
    </comment>
    <comment ref="Q56" authorId="1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Kaizen:
Baseado em DC044042 (Bolo Maçã/Chá Verde, NK, 4 unid, 3.2kg)</t>
        </r>
      </text>
    </comment>
    <comment ref="Q57" authorId="1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Kaizen:
Baseado em DC11847 (Tarte Whisky-Mango, X, 2 unid, 2.4kg)</t>
        </r>
      </text>
    </comment>
    <comment ref="Q58" authorId="1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Kaizen:
Baseado em DC218846 (Pastel Tentación, X, 3 unid, 4.5kg)</t>
        </r>
      </text>
    </comment>
    <comment ref="Q68" authorId="1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Kaizen:
Baseado em DC160072 (Bolacha Ovo, BB, 2 unid, 3.0kg)</t>
        </r>
      </text>
    </comment>
    <comment ref="Q69" authorId="1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Kaizen:
Baseado em DC121072 (Bolacha Café Crocante, BB, 2 unid, 2.8kg)</t>
        </r>
      </text>
    </comment>
    <comment ref="Q74" authorId="1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Kaizen:
Preço directo da tabela AC:AE</t>
        </r>
      </text>
    </comment>
    <comment ref="Q89" authorId="1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Kaizen:
Baseado em DC180172 (Cake in Cup Triplo Choc, CC, 24 unid, 4.32kg - exacto)</t>
        </r>
      </text>
    </comment>
    <comment ref="Q101" authorId="1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Kaizen:
Baseado em DC217072 (Bolo Arroz 34 unid, MF, mesmo produto)</t>
        </r>
      </text>
    </comment>
    <comment ref="Q110" authorId="1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Kaizen:
Baseado em DC312084 (Semifrio Caramelo ULI, S, 4 unid, 6kg)</t>
        </r>
      </text>
    </comment>
    <comment ref="Q118" authorId="1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Kaizen:
Baseado em DC312084 (Semifrio Caramelo ULI, S, 4 unid, 6kg)</t>
        </r>
      </text>
    </comment>
    <comment ref="Q120" authorId="1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Kaizen:
Baseado em DC312084 (Semifrio ULI 4 unid - não existe 3 unid com preço)</t>
        </r>
      </text>
    </comment>
    <comment ref="Q121" authorId="1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Kaizen:
Baseado em DC402080 (Baba Camelo ULI, T, 21 unid, 2.1kg - exacto)</t>
        </r>
      </text>
    </comment>
    <comment ref="Q126" authorId="1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Kaizen:
Baseado em DC403080 (Mousse Choc ULI, T, 21 unid, 2.1kg)</t>
        </r>
      </text>
    </comment>
    <comment ref="Q133" authorId="1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Kaizen:
Baseado em DC406080 (Natas Céu ULI, T, 21 unid, 2.1kg - exacto)</t>
        </r>
      </text>
    </comment>
    <comment ref="Q139" authorId="1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Kaizen:
Baseado em DC436080 (Cheesecake ULI, T, 21 unid, 2.1kg)</t>
        </r>
      </text>
    </comment>
    <comment ref="Q172" authorId="1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Kaizen:
Baseado em DC213072 (Fidalgo 1.5kg, FD, 4 unid - único FD com preço)</t>
        </r>
      </text>
    </comment>
    <comment ref="Q173" authorId="1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Kaizen:
Baseado em DC213072 (Fidalgo 1.5kg, FD, 4 unid - único FD com preço)</t>
        </r>
      </text>
    </comment>
    <comment ref="Q181" authorId="1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Kaizen:
Baseado em DC312700 (mesmo produto, ref base idêntica)</t>
        </r>
      </text>
    </comment>
    <comment ref="Q183" authorId="1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Kaizen:
Baseado em DC312750 (mesmo produto, ref base idêntica)</t>
        </r>
      </text>
    </comment>
    <comment ref="Q185" authorId="1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Kaizen:
Baseado em DC312760 (mesmo produto, ref base idêntica)</t>
        </r>
      </text>
    </comment>
    <comment ref="Q187" authorId="1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Kaizen:
Baseado em DC125400 (Red Velvet, B, 4 unid, 2.4kg - mais próximo)</t>
        </r>
      </text>
    </comment>
    <comment ref="Q188" authorId="1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Kaizen:
Baseado em DC125400 (Red Velvet, B, 4 unid, 2.4kg - mais próximo)</t>
        </r>
      </text>
    </comment>
  </commentList>
</comments>
</file>

<file path=xl/sharedStrings.xml><?xml version="1.0" encoding="utf-8"?>
<sst xmlns="http://schemas.openxmlformats.org/spreadsheetml/2006/main" count="2530" uniqueCount="549">
  <si>
    <t>PROCURA — FORECAST E DATAS DE ENTREGA</t>
  </si>
  <si>
    <t>Por cada referência ativa, quantas unidades produzir no horizonte e até quando. Esta aba é ATUALIZADA MENSALMENTE com base no forecast.</t>
  </si>
  <si>
    <t>ref_id</t>
  </si>
  <si>
    <t>forecast_unid</t>
  </si>
  <si>
    <t>data_entrega</t>
  </si>
  <si>
    <t>DC530185</t>
  </si>
  <si>
    <t>DC020550M</t>
  </si>
  <si>
    <t>DC021550M</t>
  </si>
  <si>
    <t>DC590047</t>
  </si>
  <si>
    <t>DC118438</t>
  </si>
  <si>
    <t>DC11888A</t>
  </si>
  <si>
    <t>DC201220M</t>
  </si>
  <si>
    <t>DC226220M</t>
  </si>
  <si>
    <t>DC402121</t>
  </si>
  <si>
    <t>DC403105</t>
  </si>
  <si>
    <t>DC405121</t>
  </si>
  <si>
    <t>DC406121</t>
  </si>
  <si>
    <t>DC430072</t>
  </si>
  <si>
    <t>DC436121</t>
  </si>
  <si>
    <t>DC028072</t>
  </si>
  <si>
    <t>DC029072</t>
  </si>
  <si>
    <t>DC030072</t>
  </si>
  <si>
    <t>DC030172</t>
  </si>
  <si>
    <t>DC031072</t>
  </si>
  <si>
    <t>DC037072</t>
  </si>
  <si>
    <t>DC034072</t>
  </si>
  <si>
    <t>DC033072</t>
  </si>
  <si>
    <t>DC035072</t>
  </si>
  <si>
    <t>DC036072</t>
  </si>
  <si>
    <t>DC105072</t>
  </si>
  <si>
    <t>DC121072</t>
  </si>
  <si>
    <t>DC132042</t>
  </si>
  <si>
    <t>DC136042</t>
  </si>
  <si>
    <t>DC160072</t>
  </si>
  <si>
    <t>DC167072</t>
  </si>
  <si>
    <t>DC209072</t>
  </si>
  <si>
    <t>DC213072</t>
  </si>
  <si>
    <t>DC214072</t>
  </si>
  <si>
    <t>DC215272</t>
  </si>
  <si>
    <t>DC312072</t>
  </si>
  <si>
    <t>DC510043</t>
  </si>
  <si>
    <t>DC511043</t>
  </si>
  <si>
    <t>DC512043</t>
  </si>
  <si>
    <t>DC513043</t>
  </si>
  <si>
    <t>DC521042</t>
  </si>
  <si>
    <t>DC522042</t>
  </si>
  <si>
    <t>DC523042</t>
  </si>
  <si>
    <t>DC524042</t>
  </si>
  <si>
    <t>DC525042</t>
  </si>
  <si>
    <t>DC530042</t>
  </si>
  <si>
    <t>DC176072</t>
  </si>
  <si>
    <t>DC216072</t>
  </si>
  <si>
    <t>DC044042</t>
  </si>
  <si>
    <t>DC804872</t>
  </si>
  <si>
    <t>DC217072</t>
  </si>
  <si>
    <t>DC023042</t>
  </si>
  <si>
    <t>DC025042</t>
  </si>
  <si>
    <t>DC024042</t>
  </si>
  <si>
    <t>DC026042</t>
  </si>
  <si>
    <t>DC0700042</t>
  </si>
  <si>
    <t>DC104440</t>
  </si>
  <si>
    <t>DC804440</t>
  </si>
  <si>
    <t>DC1370840</t>
  </si>
  <si>
    <t>DC167084</t>
  </si>
  <si>
    <t>DC201083</t>
  </si>
  <si>
    <t>DC111084</t>
  </si>
  <si>
    <t>DC312084</t>
  </si>
  <si>
    <t>DC430080</t>
  </si>
  <si>
    <t>DC403080</t>
  </si>
  <si>
    <t>DC512083</t>
  </si>
  <si>
    <t>DC511083</t>
  </si>
  <si>
    <t>DC226083</t>
  </si>
  <si>
    <t>DC590080</t>
  </si>
  <si>
    <t>DC102621</t>
  </si>
  <si>
    <t>DC403621</t>
  </si>
  <si>
    <t>DC402621</t>
  </si>
  <si>
    <t>DC312025</t>
  </si>
  <si>
    <t>DC312032</t>
  </si>
  <si>
    <t>DC138030</t>
  </si>
  <si>
    <t>DC312401</t>
  </si>
  <si>
    <t>DC01830</t>
  </si>
  <si>
    <t>DC01831</t>
  </si>
  <si>
    <t>DC01832</t>
  </si>
  <si>
    <t>DC312501B</t>
  </si>
  <si>
    <t>DC102600</t>
  </si>
  <si>
    <t>DC804700C</t>
  </si>
  <si>
    <t>DC804600R</t>
  </si>
  <si>
    <t>ESTRUTURA FÍSICA DO SISTEMA PRODUTIVO</t>
  </si>
  <si>
    <t>Parâmetro</t>
  </si>
  <si>
    <t>Valor</t>
  </si>
  <si>
    <t>Notas / Como Recolher</t>
  </si>
  <si>
    <t>1º dia do planeamento</t>
  </si>
  <si>
    <t>Último dia a planear</t>
  </si>
  <si>
    <t>LINHA L0 — PRÉ-PROCESSAMENTO (preparados + corte)</t>
  </si>
  <si>
    <t>Capacidade efetiva de L0 por dia (minutos)</t>
  </si>
  <si>
    <t>Total de minutos disponíveis em preparados+corte (excluindo fornos)</t>
  </si>
  <si>
    <t>Horario de início de L0</t>
  </si>
  <si>
    <t>Horario de fim de L0</t>
  </si>
  <si>
    <t>FORNOS (recurso destacado de L0)</t>
  </si>
  <si>
    <t>Numero de fornos disponiveis</t>
  </si>
  <si>
    <t>Capacidade efetiva por forno por dia (minutos)</t>
  </si>
  <si>
    <t>Minutos úteis de cozedura por forno</t>
  </si>
  <si>
    <t>LINHA L1 — HORÁRIOS POR SUB-ESTAÇÃO</t>
  </si>
  <si>
    <t>Horario de inicio L1 producao</t>
  </si>
  <si>
    <t>08:00</t>
  </si>
  <si>
    <t>Hora a que produção começa</t>
  </si>
  <si>
    <t>Horario de fim L1 producao</t>
  </si>
  <si>
    <t>16:30</t>
  </si>
  <si>
    <t>Hora a que produção termina (pós-limpeza)</t>
  </si>
  <si>
    <t>Capacidade efetiva L1 producao (minutos)</t>
  </si>
  <si>
    <t>Minutos úteis, sem setups</t>
  </si>
  <si>
    <t>Horario de inicio L1 acabamento/embalamento</t>
  </si>
  <si>
    <t>09:00</t>
  </si>
  <si>
    <t>1h depois da produção, por causa do túnel</t>
  </si>
  <si>
    <t>Horario de fim L1 acabamento/embalamento</t>
  </si>
  <si>
    <t>17:30</t>
  </si>
  <si>
    <t>Hora a que o acabamento termina (pós-limpeza)</t>
  </si>
  <si>
    <t>Capacidade efetiva L1 acabamento/embalamento (minutos)</t>
  </si>
  <si>
    <t>Tempo do tunel de arrefecimento L1 (minutos)</t>
  </si>
  <si>
    <t>60</t>
  </si>
  <si>
    <t>Tempo fixo automático entre produção e acabamento. Não consome operadores.</t>
  </si>
  <si>
    <t>LINHA L2 — HORÁRIOS POR SUB-ESTAÇÃO</t>
  </si>
  <si>
    <t>Horario de inicio L2 producao</t>
  </si>
  <si>
    <t>Horario de fim L2 producao</t>
  </si>
  <si>
    <t>Capacidade efetiva L2 producao (minutos)</t>
  </si>
  <si>
    <t>Horario de inicio L2 acabamento/embalamento</t>
  </si>
  <si>
    <t>Horario de fim L2 acabamento/embalamento</t>
  </si>
  <si>
    <t>Capacidade efetiva L2 acabamento/embalamento (minutos)</t>
  </si>
  <si>
    <t>Tempo da camara de azoto L2 (minutos)</t>
  </si>
  <si>
    <t>Depende do produto?</t>
  </si>
  <si>
    <t>RECURSOS HUMANOS</t>
  </si>
  <si>
    <t xml:space="preserve">Numero total de operadores produtivos </t>
  </si>
  <si>
    <t>3 férias, 1 a faltar, 3 preparados e 3 de for a, 2 copa</t>
  </si>
  <si>
    <t>DIAGRAMA SIMPLIFICADO DO FLUXO</t>
  </si>
  <si>
    <t>Dia n-1 (ou n-2 para casos especiais como brookie):</t>
  </si>
  <si>
    <t xml:space="preserve">   L0 (Preparados → Cozedura nos fornos → Corte) → STOCK INTERMÉDIO</t>
  </si>
  <si>
    <t>Dia n:</t>
  </si>
  <si>
    <t xml:space="preserve">   STOCK INTERMÉDIO + Batidos (mesmo dia, absorvidos em L1/L2)</t>
  </si>
  <si>
    <t xml:space="preserve">   L1 ou L2 (Produção 8h-16:30) → Túnel/Azoto (1h) → Acabamento/Embalamento (9h-17:30)</t>
  </si>
  <si>
    <t>CATÁLOGO DE REFERÊNCIAS ATIVAS</t>
  </si>
  <si>
    <t>Uma linha por cada referência ativa do plano mensal. Para refs que só passam por uma linha, deixa a outra com pode=Não e tempo=0. Tempos de produção e acabamento estão SEPARADOS porque há 1h de túnel entre eles.</t>
  </si>
  <si>
    <t>nome</t>
  </si>
  <si>
    <t>Unid_caixa</t>
  </si>
  <si>
    <t>nao_produzir_segunda</t>
  </si>
  <si>
    <t>família</t>
  </si>
  <si>
    <t>ativa</t>
  </si>
  <si>
    <t>pode_L1</t>
  </si>
  <si>
    <t>tempo_L1_prod_min (cadência de L1)</t>
  </si>
  <si>
    <t>operadores_nec_L1_acab</t>
  </si>
  <si>
    <t>operadores_nec_L1_prod</t>
  </si>
  <si>
    <t>pode_L2</t>
  </si>
  <si>
    <t>tempo_L2_prod_min (cadência de L2)</t>
  </si>
  <si>
    <t>tempo_L2_acab_min (cadência de L2)</t>
  </si>
  <si>
    <t>operadores_nec_L2_acab</t>
  </si>
  <si>
    <t>operadores_nec_L2_prod</t>
  </si>
  <si>
    <t>kg</t>
  </si>
  <si>
    <t>euros</t>
  </si>
  <si>
    <t>abc</t>
  </si>
  <si>
    <t>PLANCHA CARROT &amp; CREAM CHEESE PREMIUM 2,2Kg(2unid)</t>
  </si>
  <si>
    <t>RT</t>
  </si>
  <si>
    <t>Sim</t>
  </si>
  <si>
    <t>Não</t>
  </si>
  <si>
    <t>-</t>
  </si>
  <si>
    <t>A</t>
  </si>
  <si>
    <t>PLANCHA YOGURT &amp; FRESA PREMIUM 2,2Kg(2unid)</t>
  </si>
  <si>
    <t>PLANCHA MANZANA &amp; CRUMBLE PREMIUM 2,2Kg (2unid) ATRIAN</t>
  </si>
  <si>
    <t>DC058440</t>
  </si>
  <si>
    <t>DC01840</t>
  </si>
  <si>
    <t>NAKED CAKE ZANAHORIA 1,6kg (2unid./cx)</t>
  </si>
  <si>
    <t>NK</t>
  </si>
  <si>
    <t>DC018406</t>
  </si>
  <si>
    <t>NAKED CAKE ZANAHORIA 1,6kg (2unid./cx)ANTIU FORN</t>
  </si>
  <si>
    <t>DC018416</t>
  </si>
  <si>
    <t>NAKED CAKE LIMÓN 1,7kg (2unid./cx)ANTIU FORN</t>
  </si>
  <si>
    <t>DC01844</t>
  </si>
  <si>
    <t>NAKED CAKE MANZANA Y TÉ VERDE PORCIONADA 1,800kg (2unid./cx)</t>
  </si>
  <si>
    <t>DC018446</t>
  </si>
  <si>
    <t>NAKED CAKE MANZANA PORCIONADA 1,800kg (2unid./cx)ANTIU FORN</t>
  </si>
  <si>
    <t>DC01846</t>
  </si>
  <si>
    <t>TARTA AMERICANA RED-VELVET  PORCIONADA 1,800kg (2unid./cx)</t>
  </si>
  <si>
    <t>AM</t>
  </si>
  <si>
    <t>DC018466</t>
  </si>
  <si>
    <t>TARTA AMERICANA RED-VELVET 1,800kg (2unid./cx)ANTIU FORN</t>
  </si>
  <si>
    <t>B</t>
  </si>
  <si>
    <t>DC403121</t>
  </si>
  <si>
    <t>DC018467</t>
  </si>
  <si>
    <t>TARTA AMERICANA RED-VELVET  POR. 2,000kg(2unid/cx)PAN&amp;GO</t>
  </si>
  <si>
    <t>DC020030</t>
  </si>
  <si>
    <t>MINI TOUCINHO DO CÉU (90g x 45 unidades) ATRIAN</t>
  </si>
  <si>
    <t>TM</t>
  </si>
  <si>
    <t>DC021040M</t>
  </si>
  <si>
    <t>MINI QUEIJINHO DO CÉU (80g x 36 unidades) CX ATRIAN</t>
  </si>
  <si>
    <t>QM</t>
  </si>
  <si>
    <t>C</t>
  </si>
  <si>
    <t>MINI QUEIJINHO DO CÉU (80g x 30 unidades) CX ATRIAN</t>
  </si>
  <si>
    <t>MUFFIN CARAMELO TRIPLE (0,120g X 32 unid) ATRIAN</t>
  </si>
  <si>
    <t>MR</t>
  </si>
  <si>
    <t>Famílias</t>
  </si>
  <si>
    <t>MUFFIN CHOCOLATE TRIPLE (0,120g X 32 unid) ATRIAN</t>
  </si>
  <si>
    <t>americano</t>
  </si>
  <si>
    <t>DC024042N</t>
  </si>
  <si>
    <t>MUFFIN CHOCOLATE TRIPLE NATAL (0,120g X 32 unid) ATRIAN</t>
  </si>
  <si>
    <t>balde</t>
  </si>
  <si>
    <t>BD</t>
  </si>
  <si>
    <t>DC024072N</t>
  </si>
  <si>
    <t>bolo de bolacha</t>
  </si>
  <si>
    <t>BB</t>
  </si>
  <si>
    <t>DC11888</t>
  </si>
  <si>
    <t>DC024872</t>
  </si>
  <si>
    <t>720248 -VEGAN FRUTY DE MAÇÃ 110 GR (24 UNID. X 2 CXS) ATRIAN</t>
  </si>
  <si>
    <t>X</t>
  </si>
  <si>
    <t>bolo laranja</t>
  </si>
  <si>
    <t>BL</t>
  </si>
  <si>
    <t>DC136630</t>
  </si>
  <si>
    <t>MUFFIN AVEIA E LIMÃO COM GENGIBRE(0,120gX32unid)ATRIAN</t>
  </si>
  <si>
    <t>bolos</t>
  </si>
  <si>
    <t>DC213800R</t>
  </si>
  <si>
    <t>MUFFIN RED VELVET E CREAM CHEESE (0,120g X 32 unid) ATRIAN</t>
  </si>
  <si>
    <t>brigadeiro</t>
  </si>
  <si>
    <t>BG</t>
  </si>
  <si>
    <t>Mini Muffin Tulipa Chocolate Doble 30g (90 unid)</t>
  </si>
  <si>
    <t>MF</t>
  </si>
  <si>
    <t>brookie</t>
  </si>
  <si>
    <t>BK</t>
  </si>
  <si>
    <t>Mini Muffin Tulipa Classic 30g (90 unid)</t>
  </si>
  <si>
    <t>brownie</t>
  </si>
  <si>
    <t>BW</t>
  </si>
  <si>
    <t>Mini Muffin Tulipa Mirtilos 30g (90 unid)</t>
  </si>
  <si>
    <t>brownie rockslide</t>
  </si>
  <si>
    <t>BR</t>
  </si>
  <si>
    <t>720301 MINI MUFFIN TULIPA SORTIDO 30 GR (90 UNID.) ATRIAN</t>
  </si>
  <si>
    <t>cake in a cup</t>
  </si>
  <si>
    <t>CC</t>
  </si>
  <si>
    <t>Muffin Tulipa de Chocolate Doble 75g (57 unid)</t>
  </si>
  <si>
    <t>cheesecake</t>
  </si>
  <si>
    <t>CH</t>
  </si>
  <si>
    <t>DC032072</t>
  </si>
  <si>
    <t>Muffin Tulipa Classic com Pepitas 75g (57 unid)</t>
  </si>
  <si>
    <t>cookies</t>
  </si>
  <si>
    <t>CK</t>
  </si>
  <si>
    <t>DC201300</t>
  </si>
  <si>
    <t>Muffin Mirtilos e Iogurte 100g (32 unid)</t>
  </si>
  <si>
    <t>delicia de coco</t>
  </si>
  <si>
    <t>DC</t>
  </si>
  <si>
    <t>Muffin de Cacau com Avelãs 110g (32 unid)</t>
  </si>
  <si>
    <t>encharcado</t>
  </si>
  <si>
    <t>ENC</t>
  </si>
  <si>
    <t>MINI MUFFIN TULIPA RED VELVET 30g (90 unid)</t>
  </si>
  <si>
    <t>fidalgo</t>
  </si>
  <si>
    <t>FD</t>
  </si>
  <si>
    <t>MUFFIN TULIPA RED VELVET 75 GR (57 UNID.)</t>
  </si>
  <si>
    <t>mini semifrio</t>
  </si>
  <si>
    <t>MS</t>
  </si>
  <si>
    <t>720370-MUFFIN CLASSIC C/PEPITAS EMBALADO 75GR (57 UNI.)</t>
  </si>
  <si>
    <t>molotofe</t>
  </si>
  <si>
    <t>MOL</t>
  </si>
  <si>
    <t>DC103220M</t>
  </si>
  <si>
    <t>BOLO DE MAÇA E CHA VERDE GORREANA (800 GR X 4 UNID.)</t>
  </si>
  <si>
    <t>muffin</t>
  </si>
  <si>
    <t>BOLO MULATA 700 GR (4 UNID.)</t>
  </si>
  <si>
    <t>S</t>
  </si>
  <si>
    <t>muffin recheado</t>
  </si>
  <si>
    <t>DC0953042</t>
  </si>
  <si>
    <t>DELICIA DE CHOCOLATE MULATA (95g x 5 unidades)</t>
  </si>
  <si>
    <t>naked</t>
  </si>
  <si>
    <t>DC102400M</t>
  </si>
  <si>
    <t>BOLO DE BOLACHA (500 GR X 4 UNID.)</t>
  </si>
  <si>
    <t>pao de rala</t>
  </si>
  <si>
    <t>PR</t>
  </si>
  <si>
    <t>BOLO DE BOLACHA 1,300KG FRIJOBEL</t>
  </si>
  <si>
    <t>placa</t>
  </si>
  <si>
    <t>PL</t>
  </si>
  <si>
    <t>DC175572</t>
  </si>
  <si>
    <t>BOLO DE BOLACHA (4 X 500 GR) POR SI</t>
  </si>
  <si>
    <t>queijinho mini</t>
  </si>
  <si>
    <t>TORTA DE LARANJA 1,500KG(2 UNID) DOCELEIA</t>
  </si>
  <si>
    <t>TL</t>
  </si>
  <si>
    <t>retangular</t>
  </si>
  <si>
    <t>DC513080</t>
  </si>
  <si>
    <t>TORTA DE NOZ 0.800KG (4 UNID) MERCADONA</t>
  </si>
  <si>
    <t>TN</t>
  </si>
  <si>
    <t>scones</t>
  </si>
  <si>
    <t>SC</t>
  </si>
  <si>
    <t>DC11889</t>
  </si>
  <si>
    <t>FLORESTA NEGRA 1,600KG (4 UNID) ULI</t>
  </si>
  <si>
    <t>semifrio</t>
  </si>
  <si>
    <t>DC21885</t>
  </si>
  <si>
    <t>DC114072</t>
  </si>
  <si>
    <t>BOLO DE PROFITEROLES 1,500KG (2 UNID) ATRIAN</t>
  </si>
  <si>
    <t>TR</t>
  </si>
  <si>
    <t>tarte de amendoa</t>
  </si>
  <si>
    <t>TA</t>
  </si>
  <si>
    <t>DC114084</t>
  </si>
  <si>
    <t>BOLO DE PROFITEROLES 1,500KG (4 UNID) ULI</t>
  </si>
  <si>
    <t>taças</t>
  </si>
  <si>
    <t>T</t>
  </si>
  <si>
    <t>DC117001</t>
  </si>
  <si>
    <t>MOLOTOFE 1,100KG</t>
  </si>
  <si>
    <t>torta claras</t>
  </si>
  <si>
    <t>TC</t>
  </si>
  <si>
    <t>DC117080</t>
  </si>
  <si>
    <t>MOLOTOFE 1,100KG ULI</t>
  </si>
  <si>
    <t>torta de noz</t>
  </si>
  <si>
    <t>DC11843</t>
  </si>
  <si>
    <t>NAKED CAKE LIMÓN Y AMAPOLA PORCIONADA 1,700kg (2unid./cx)</t>
  </si>
  <si>
    <t>torta laranja</t>
  </si>
  <si>
    <t>NAKED LIMÃO E SEMENTES DE PAPOILA 1,700kg(4unid./cx)ULI</t>
  </si>
  <si>
    <t>toucinho</t>
  </si>
  <si>
    <t>TCN</t>
  </si>
  <si>
    <t>DC170200M</t>
  </si>
  <si>
    <t>DC11847</t>
  </si>
  <si>
    <t>TARTE WHISKY-MANGO (2 unid./cx)</t>
  </si>
  <si>
    <t>toucinho mini</t>
  </si>
  <si>
    <t>DC11848</t>
  </si>
  <si>
    <t>SEMIFRIO CHISFRUIT 1,2 kg (2 UNID) ATRIAN</t>
  </si>
  <si>
    <t>tranches</t>
  </si>
  <si>
    <t>DC118486</t>
  </si>
  <si>
    <t>Cheesecake de Frutos Silvestres  1,2 kg (3 UNID) ATRIUN FORN</t>
  </si>
  <si>
    <t>x</t>
  </si>
  <si>
    <t>DC213700C</t>
  </si>
  <si>
    <t>DC11849</t>
  </si>
  <si>
    <t>TARTA SACHER 1,2 kg (2 UNID) ATRIAN</t>
  </si>
  <si>
    <t>DC118621</t>
  </si>
  <si>
    <t>NAKED CAKE SEM. PAPOILA E LIMÃO (750 GR X 4 UNID.) POR SI</t>
  </si>
  <si>
    <t>DC11882</t>
  </si>
  <si>
    <t>TARTA TIRAMISÚ 1,100 kg (2 unid./cx)</t>
  </si>
  <si>
    <t>DC135072</t>
  </si>
  <si>
    <t>DC118826</t>
  </si>
  <si>
    <t>TARTA TIRAMISÚ 1,100 kg (3 unid./cx) ATRIUN FORN</t>
  </si>
  <si>
    <t>DC118886</t>
  </si>
  <si>
    <t>TARTA AMERICANA CARROT 2,700kg (2unid/cx) ANTIU FORN</t>
  </si>
  <si>
    <t>TARTA AMERICANA CARROT PORCIONADA  2,700kg (2unid/cx) ATRIAN A</t>
  </si>
  <si>
    <t>TARTA AMERICANA CACAO PORCIONADO  2,2 kg (2 UNID) ATRIAN</t>
  </si>
  <si>
    <t>DC118896</t>
  </si>
  <si>
    <t>TARTA AMERICANA CACAO  2,2 kg (2 UNID) ANTIU FORN</t>
  </si>
  <si>
    <t>DC218072</t>
  </si>
  <si>
    <t>721212 BOLO BOLACHA CAFÉ CROCANTE 1,400KG(2 UNID.) ATRIAN</t>
  </si>
  <si>
    <t>DC125072</t>
  </si>
  <si>
    <t>RED VELVET 1,200 KG (2unid) Atrian</t>
  </si>
  <si>
    <t>DC125400</t>
  </si>
  <si>
    <t>725204 - BOLO RED VELVET (600 GR X 4 UNID.) ATRIAN</t>
  </si>
  <si>
    <t>DC125621</t>
  </si>
  <si>
    <t>BOLO RED VELVET (600 GR X 4 UNID) POR SI</t>
  </si>
  <si>
    <t>DC126072</t>
  </si>
  <si>
    <t>BOLO DE CENOURA E COCO 1,200 kg (3 UNID)</t>
  </si>
  <si>
    <t>DC590042</t>
  </si>
  <si>
    <t>DC128042</t>
  </si>
  <si>
    <t>721282 BOLO DE BOLACHA CROCANTE 1,500KG  (2 UNID.) ATRIAN</t>
  </si>
  <si>
    <t>DC129042</t>
  </si>
  <si>
    <t>BOLO DE BOLACHA 1,300KG (2 UNID) ATRIAN</t>
  </si>
  <si>
    <t>DC316621</t>
  </si>
  <si>
    <t>721322 - TIRAMISSU 1 kg (2 unid/cx) ATRIAN</t>
  </si>
  <si>
    <t>DC132080</t>
  </si>
  <si>
    <t>TIRAMISSU 1 kg (4 UNID) ULI</t>
  </si>
  <si>
    <t>DC132260</t>
  </si>
  <si>
    <t>TIRAMISSU 1 kg (4 UNID) ANTIU FORN</t>
  </si>
  <si>
    <t>721353 BOLO DE NOZ E FIOS DE OVOS 1,500 kg (3 UNID)ATRIAN</t>
  </si>
  <si>
    <t>DC136001</t>
  </si>
  <si>
    <t>BOLO DE BRIGADEIRO 1,950 KG SODRIL</t>
  </si>
  <si>
    <t>721362 - BOLO DE BRIGADEIRO 1,700KG (2 UNID) ATRIAN</t>
  </si>
  <si>
    <t>DC136400M</t>
  </si>
  <si>
    <t>BOLO BRIGADEIRO (650 GR X 4 UNID.)</t>
  </si>
  <si>
    <t>DC136621</t>
  </si>
  <si>
    <t>BOLO BRIGADEIRO (650 GR X 4 UNID.) POR SI</t>
  </si>
  <si>
    <t>BOLO DE BRIGADEIRO FRIJOBEL 1,650 KG</t>
  </si>
  <si>
    <t>DC137072</t>
  </si>
  <si>
    <t>ENCHARCADO DE CHOCOLATE 1,500 KG (3 UNID)</t>
  </si>
  <si>
    <t>ENCHARCADO DE CHOCOLATE 1,500 KG (4 UNID) ULI</t>
  </si>
  <si>
    <t>BOLO DE BRIGADEIRO 1,500 KG ABUELA</t>
  </si>
  <si>
    <t>721672 TRANCHE DE PROFITEROLES 1,500KG (2 UNID.) CX ATRIAN</t>
  </si>
  <si>
    <t>DC436621</t>
  </si>
  <si>
    <t>TRANCHE DE PROFITEROLES 1,500KG (4 UNID.) ULI</t>
  </si>
  <si>
    <t>TORTA DE CLARAS COM DOCE D'OVO 1,2 KG (4 UNID)</t>
  </si>
  <si>
    <t>721755 - BOLO BROWNIE ROCKSLIDE 1.7 KG (2 UNID.) ATRIAN</t>
  </si>
  <si>
    <t>726072- BROWNIE ROCKSLIDE RETANGULAR 3,2 KG (2 UNID)ATRIAN</t>
  </si>
  <si>
    <t>DC406080</t>
  </si>
  <si>
    <t>DC180172</t>
  </si>
  <si>
    <t>721801-CAKE IN A CUP TRIPLO CHOCOLATE 180ML (24UNID.) ATRIAN</t>
  </si>
  <si>
    <t>DC180272</t>
  </si>
  <si>
    <t>721802 - CAKE IN A CUP RED VELVET 180ML (24 UNID.) ATRIAN</t>
  </si>
  <si>
    <t>DC180372</t>
  </si>
  <si>
    <t>721803-CAKE IN A CUP CENOURA IOGURTE 180ML (24 UNID.) ATRIAN</t>
  </si>
  <si>
    <t>DELICIA DE COCO 1,500KG (3 UNID)ULI</t>
  </si>
  <si>
    <t>DC428621</t>
  </si>
  <si>
    <t>DC209747</t>
  </si>
  <si>
    <t>DELICIA DE COCO 1,500KG (3 UNID) ATRIAN PT</t>
  </si>
  <si>
    <t>DELICIA DE COCO 1.500KG (3 UNID) METRO CHEF</t>
  </si>
  <si>
    <t>TOUCINHO DO CEU 1,000KG (2 UNID)ATRIAN</t>
  </si>
  <si>
    <t>DC402080</t>
  </si>
  <si>
    <t>TOUCINHO DO CEU 1,000KG (2 UNID) EUROPASTRY</t>
  </si>
  <si>
    <t>FIDALGO 1,500KG (2 UNID)ATRIAN</t>
  </si>
  <si>
    <t>DC405080</t>
  </si>
  <si>
    <t>PAO DE RALA 1,300KG (2 UNID)ATRIAN</t>
  </si>
  <si>
    <t>DC206072</t>
  </si>
  <si>
    <t>722152 -COOKIES PEPITAS CHOCOLATE BRANCO 75g (32 unid/caixa)</t>
  </si>
  <si>
    <t>727704 - SCONES 80g (48 unid) ATRIAN</t>
  </si>
  <si>
    <t>728920 - BOLO DE ARROZ 80g (34 unid) ATRIAN</t>
  </si>
  <si>
    <t>DC217073</t>
  </si>
  <si>
    <t>728920E - BOLO DE ARROZ 80g (38 unid) ATRIAN SAFE PACK</t>
  </si>
  <si>
    <t>DC215072</t>
  </si>
  <si>
    <t>DC21884</t>
  </si>
  <si>
    <t>PASTEL TENTACIÓN  PORCIONADO 1,500 KG (2 UNID) ATRIAN</t>
  </si>
  <si>
    <t>DC430100</t>
  </si>
  <si>
    <t>DC218846</t>
  </si>
  <si>
    <t>PASTEL TENTACIÓN  1,500 KG (3 UNID) ANTIU FORN</t>
  </si>
  <si>
    <t>PASTEL DE NARANJA PORCIONADO 12 FATIAS CX ATRIAN (2UNID/CX)</t>
  </si>
  <si>
    <t>DC219072</t>
  </si>
  <si>
    <t>722154 - MINI COOKIE C/PEPITAS CHOC 14g (200 unid/caixa)</t>
  </si>
  <si>
    <t>DC219572</t>
  </si>
  <si>
    <t>722155 - MINI COOKIE C/ MIRTILIOS 14g (200 unid/cx) Emb Ind</t>
  </si>
  <si>
    <t>PUDIM DE LARANJA 1,400KG (3 UNID)ULI</t>
  </si>
  <si>
    <t>DC436080</t>
  </si>
  <si>
    <t>PUDIM DE LARANJA 1,400KG (3 UNID)</t>
  </si>
  <si>
    <t>DC431100</t>
  </si>
  <si>
    <t>DC307400M</t>
  </si>
  <si>
    <t>CHEESE CAKE DE FRUTOS SILVESTRES (650 GR X 4 UNID)</t>
  </si>
  <si>
    <t>DC311084</t>
  </si>
  <si>
    <t>SEMIFRIO DE MORANGO 1,500KG (4 UNID) ULI</t>
  </si>
  <si>
    <t>SEMIFRIO DE CARAMELO -1,500KG ABUELA</t>
  </si>
  <si>
    <t>SEMIFRIO DE CARAMELO -1,500KG ABUELA PRÉ-CORTADO</t>
  </si>
  <si>
    <t>SEMIFRIO DE CARAMELO 1,450KG  ATRIAN</t>
  </si>
  <si>
    <t>SEMIFRIO DE CARAMELO 1,500KG(4UNID) ULI</t>
  </si>
  <si>
    <t>SEMIFRIO DE CHOCOLATE 1,500KG ABUELA</t>
  </si>
  <si>
    <t>DC312746</t>
  </si>
  <si>
    <t>SEMIFRIO DE CARAMELO DEC. PRÉ-CORTADO 14 - 1,500KG TOPGEL</t>
  </si>
  <si>
    <t>SEMIFRIO DE CARAMELO 1.500 KG EUROPASTRY</t>
  </si>
  <si>
    <t>DC313084</t>
  </si>
  <si>
    <t>SEMIFRIO DE MANGA 1,500KG (4 UNID) ULI</t>
  </si>
  <si>
    <t>CHEESECAKE DE MARACUJÁ (650 GR X 4 UNID.) POR SI</t>
  </si>
  <si>
    <t>DC526042</t>
  </si>
  <si>
    <t>DC352072</t>
  </si>
  <si>
    <t>723523 - SEMIFRIO DE MARACUJÁ 1,500KG (3 UNID) ATRIAN</t>
  </si>
  <si>
    <t>DC127042</t>
  </si>
  <si>
    <t>DC402070</t>
  </si>
  <si>
    <t>BABA DE CAMELO 100G (21 UNID) E.LECLERC</t>
  </si>
  <si>
    <t>BABA DE CAMELO 100G (21 UNID) ULI</t>
  </si>
  <si>
    <t>BABA DE CAMELO 125 ML (21 UNID) DOCELEIA</t>
  </si>
  <si>
    <t>DC402300</t>
  </si>
  <si>
    <t>BABA DE CAMELO 100G (21 UNID) RIOBA</t>
  </si>
  <si>
    <t>BABA DE CAMELO 100G (21 UNID) ITMP</t>
  </si>
  <si>
    <t>DC403070</t>
  </si>
  <si>
    <t>MOUSSE DE CHOCOLATE 110G (21 UNID) E.LECLERC</t>
  </si>
  <si>
    <t>DC805072</t>
  </si>
  <si>
    <t>MOUSSE DE CHOCOLATE 100G (21 UNID) ULI</t>
  </si>
  <si>
    <t>DC403300</t>
  </si>
  <si>
    <t>MOUSSE DE CHOCOLATE 100G (21 UNID) RIOBA</t>
  </si>
  <si>
    <t>MOUSSE DE CHOCOLATE 100g (21 UNID) ITMP</t>
  </si>
  <si>
    <t>DOCE D'AVÓ 100G (21 UNID) ULI</t>
  </si>
  <si>
    <t>DOCE D'AVÓ 125 ML (21 UNID) DOCELEIA</t>
  </si>
  <si>
    <t>DC405300</t>
  </si>
  <si>
    <t>DOCE D'AVÓ 100G (21 UNID) RIOBA</t>
  </si>
  <si>
    <t>DC406070</t>
  </si>
  <si>
    <t>NATAS DO CEU 100G (21 UNID) E.LECLERC</t>
  </si>
  <si>
    <t>NATAS DO CEU 100G (21 UNID) ULI</t>
  </si>
  <si>
    <t>NATAS DO CEU 125 ML (21 UNID) ETIQ. TIMBRADA DOCELEIA</t>
  </si>
  <si>
    <t>DC406300</t>
  </si>
  <si>
    <t>NATAS DO CEU 100 GR (21 UNID) RIOBA</t>
  </si>
  <si>
    <t>SERRADURA  100g (21 unid) ITMP</t>
  </si>
  <si>
    <t>BALDE DE BABA DE CAMELO 2KG ULI</t>
  </si>
  <si>
    <t>DC436070</t>
  </si>
  <si>
    <t>MARAVILHA DE CHEESECAKE 110G (21 unid) E.LECLERC</t>
  </si>
  <si>
    <t>CHEESECAKE DE FRUTOS SILVESTRES 100 gramas (21 unid) ULI</t>
  </si>
  <si>
    <t>MARAVILHA DE CHEESECAKE 125 ML (21 unid) DOCELEIA</t>
  </si>
  <si>
    <t>DC436300</t>
  </si>
  <si>
    <t>CHEESECAKE DE FRUTOS SILVESTRES 100 GR (21 UNID) RIOBA</t>
  </si>
  <si>
    <t>DC316140</t>
  </si>
  <si>
    <t>CHEESECAKE DE MORANGO 100g  (21 unid) ITMP</t>
  </si>
  <si>
    <t>DC150172</t>
  </si>
  <si>
    <t>SORTIDO DE PLACAS HOTELEIRAS 3X2KG (cenoura, choc., iogurte)</t>
  </si>
  <si>
    <t>PLACA HOTELEIRA IOGURTE 2 Kg (3 unidades)ATRIAN</t>
  </si>
  <si>
    <t>DC436105</t>
  </si>
  <si>
    <t>PLACA RETANGULAR IOGURTE 2 Kg (3 unidades) ULI</t>
  </si>
  <si>
    <t>DC402105</t>
  </si>
  <si>
    <t>PLACA HOTELEIRA CACAU 2 Kg (3 unidades)ATRIAN</t>
  </si>
  <si>
    <t>PLACA RETANGULAR CACAU 2 Kg (3 unidades)ULI</t>
  </si>
  <si>
    <t>PLACA HOTELEIRA CENOURA 2 Kg (3 unidades)ATRIAN</t>
  </si>
  <si>
    <t>PLACA HOTELEIRA CENOURA 2 Kg (3 unidades)ULI</t>
  </si>
  <si>
    <t>725212 BOLO RETANGULAR RED-VELVET E CREAM CHEESE2,2Kg(2unid)</t>
  </si>
  <si>
    <t>725222 BOLO RETANGULAR CENOURA E CREAM CHEESE 2,2Kg(2unid)</t>
  </si>
  <si>
    <t>725232 BOLO RETANGULAR BRIGADEIRO 2,2Kg (2unid) ATRIAN</t>
  </si>
  <si>
    <t>725242 BOLO RETANGULAR IOGURTE,MORANGO SEMENTES 2,2Kg(2unid)</t>
  </si>
  <si>
    <t>725252 BOLO RETANGULAR ANANÁS E CÔCO 2,2Kg (2unid) ATRIAN</t>
  </si>
  <si>
    <t>725262 BOLO RETANGULAR MAÇÃ E CRUMBLE 2,2Kg (2unid) ATRIAN</t>
  </si>
  <si>
    <t>DC219846</t>
  </si>
  <si>
    <t>725302 BROWNIE  PREMIUM 2Kg (2unid) ATRIAN</t>
  </si>
  <si>
    <t>BROWNIE C/NOZES 60 GR (48 UNID)</t>
  </si>
  <si>
    <t>BROWNIE DE FRAMBOESA (SEM GLUTEN) 2 X 1,050 KG</t>
  </si>
  <si>
    <t>Brownie C/Pepitas Chocolate 30x60 gr</t>
  </si>
  <si>
    <t>DC111072</t>
  </si>
  <si>
    <t>BROWNIE C/PEPITAS CHOCOLATE 60 GR (30 unid.)  ULI</t>
  </si>
  <si>
    <t>13935 - BROOKIE 2X100 GR (24 UNID.) MERCADONA</t>
  </si>
  <si>
    <t>DC181472</t>
  </si>
  <si>
    <t>728048 - BROOKIE 80 gr (24 unid. x 2 cxs) ATRIAN</t>
  </si>
  <si>
    <t>DC181172</t>
  </si>
  <si>
    <t>MOUSSE DE CHOCOLATE 90gr (21 UNID)DOCELEIA</t>
  </si>
  <si>
    <t>BROOKIE ESPECIAL DE NATAL 90 GR (24 unid.)</t>
  </si>
  <si>
    <t>DC406105</t>
  </si>
  <si>
    <t>724061- TAÇA NATAS DO CEU 100 GR (21 UNID) DOCELEIA</t>
  </si>
  <si>
    <t>DC317140</t>
  </si>
  <si>
    <t>724361 - TAÇA DE CHEESECAKE F. SILV 100 GR (21unid) DOCELEIA</t>
  </si>
  <si>
    <t>DC405105</t>
  </si>
  <si>
    <t>724051 - TAÇA DOCE D'AVÓ 100 GR (21 UNID) DOCELEIA</t>
  </si>
  <si>
    <t>DC181272</t>
  </si>
  <si>
    <t>724021 - TAÇA  BABA DE CAMELO 90 GR (21 UNID) DOCELEIA</t>
  </si>
  <si>
    <t>DC130072</t>
  </si>
  <si>
    <t>DC437105</t>
  </si>
  <si>
    <t>728032 - BROOKIE BITES 90 GR (32 UNID)</t>
  </si>
  <si>
    <t>DC403221</t>
  </si>
  <si>
    <t>724301 - BABA DE CAMELO RESTAURAÇÃO 2 KG (2 UNID)</t>
  </si>
  <si>
    <t>722134C - FIDALGO 0.85 KG (4 UNID) - Pingo Doce</t>
  </si>
  <si>
    <t>722136R - FIDALGO 0.85KG (4unid) Refrigerado Pingo Doce</t>
  </si>
  <si>
    <t>DC312700</t>
  </si>
  <si>
    <t>Semifrio de Caramelo 1,500kg MDQ</t>
  </si>
  <si>
    <t>DC312760</t>
  </si>
  <si>
    <t>Semifrio de Caramelo 1,5kg Anedilco</t>
  </si>
  <si>
    <t>DC127142</t>
  </si>
  <si>
    <t>721266 - BOLO MOUSSE DE CHOCOLATE 1 KG (2 UNID)</t>
  </si>
  <si>
    <t>DC014872</t>
  </si>
  <si>
    <t>721602  BOLO DE BOLACHA OVO 1,5 KG ATRIAN (2 UNID.)</t>
  </si>
  <si>
    <t>VASITO DE MANZANA Y CANELA 180ML (24 UNID.) ATRIAN</t>
  </si>
  <si>
    <t>DC013103</t>
  </si>
  <si>
    <t>VASITO RED VELVET 180ML (24 UNID.) ATRIAN</t>
  </si>
  <si>
    <t>DC180472</t>
  </si>
  <si>
    <t>VASITO TRIPLO CHOCOLATE 180ML (24UNID.) ATRIAN</t>
  </si>
  <si>
    <t>DC011103</t>
  </si>
  <si>
    <t>DC312700AT</t>
  </si>
  <si>
    <t>DC312750</t>
  </si>
  <si>
    <t>Semifrio de Caramelo 1,500kg Pré-Cortado Anedilco</t>
  </si>
  <si>
    <t>DC312750AT</t>
  </si>
  <si>
    <t>Semifrio de Caramelo 1,500kg Anedilco</t>
  </si>
  <si>
    <t>DC312760AT</t>
  </si>
  <si>
    <t>DC403072</t>
  </si>
  <si>
    <t>721502 - MOUSSE DE CHOCOLATE PREMIUM 100GR (32 UNID)</t>
  </si>
  <si>
    <t>726504C - BOLO DE CHOCOLATE BROOKIE 650GR (4 UNID) CONGELADO</t>
  </si>
  <si>
    <t>726506R - BOLO DE CHOCOLATE BROOKIE 650GR (4 UNID) REFRIGERADO</t>
  </si>
  <si>
    <t>MOUSSE DE CHOCOLATE RESTAURAÇÃO 2000 ML (4UNID.)</t>
  </si>
  <si>
    <t>COOKIES PEPITAS  CHOCOLATE 70g (24 unid/caixa)</t>
  </si>
  <si>
    <t>TARTE DE AMENDOA 0,800KG(2UNID)ATRIAN</t>
  </si>
  <si>
    <t>MINI TOUCINHO DO CÉU (90g x 30 unidades) Doceleia</t>
  </si>
  <si>
    <t>MATRIZ DE SETUPS INTER-FAMÍLIA</t>
  </si>
  <si>
    <t xml:space="preserve">Tempo de setup em MINUTOS quando se passa família da LINHA para a família da COLUNA. </t>
  </si>
  <si>
    <t xml:space="preserve"> SETUPS LIMPEZAS </t>
  </si>
  <si>
    <t>DE \ PARA</t>
  </si>
  <si>
    <t>simples</t>
  </si>
  <si>
    <t>normal</t>
  </si>
  <si>
    <t>complexa</t>
  </si>
  <si>
    <t>DIAS EXCECIONAIS</t>
  </si>
  <si>
    <t>Inserir os dias em que a fábrica não irá trabalhar dentro do horizonte de planeamento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</si>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</sst>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\ &quot;min&quot;"/>
    <numFmt numFmtId="165" formatCode="[$-F400]h:mm:ss\ AM/PM"/>
  </numFmts>
  <fonts count="1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Calibri"/>
      <family val="2"/>
    </font>
    <font>
      <b/>
      <sz val="14"/>
      <color rgb="FF1F4E78"/>
      <name val="Calibri"/>
      <family val="2"/>
    </font>
    <font>
      <i/>
      <sz val="10"/>
      <color rgb="FF595959"/>
      <name val="Calibri"/>
      <family val="2"/>
    </font>
    <font>
      <b/>
      <sz val="12"/>
      <color rgb="FFFFFFFF"/>
      <name val="Calibri"/>
      <family val="2"/>
    </font>
    <font>
      <i/>
      <sz val="10"/>
      <color rgb="FF548235"/>
      <name val="Calibri"/>
      <family val="2"/>
    </font>
    <font>
      <i/>
      <sz val="10"/>
      <color rgb="FF595959"/>
      <name val="Calibri"/>
      <family val="2"/>
    </font>
    <font>
      <sz val="10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FFFFFF"/>
      <name val="Calibri"/>
      <family val="2"/>
      <scheme val="minor"/>
    </font>
    <font>
      <i/>
      <sz val="10"/>
      <color rgb="FF548235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2"/>
      <color rgb="FF595959"/>
      <name val="Calibri"/>
      <family val="2"/>
    </font>
    <font>
      <sz val="12"/>
      <color rgb="FF000000"/>
      <name val="Calibri"/>
      <family val="2"/>
    </font>
    <font>
      <sz val="12"/>
      <color rgb="FF548235"/>
      <name val="Calibri"/>
      <family val="2"/>
    </font>
    <font>
      <sz val="11"/>
      <color theme="1"/>
      <name val="Avenir Next LT Pro"/>
      <family val="2"/>
    </font>
  </fonts>
  <fills count="11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BDD7E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0" fontId="2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0" xfId="0" applyNumberFormat="1"/>
    <xf numFmtId="164" fontId="0" fillId="0" borderId="3" xfId="0" applyNumberForma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7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14" fontId="2" fillId="4" borderId="1" xfId="0" applyNumberFormat="1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0" fontId="5" fillId="8" borderId="4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6" fillId="9" borderId="5" xfId="0" applyFont="1" applyFill="1" applyBorder="1" applyAlignment="1">
      <alignment horizontal="left" vertical="center" wrapText="1"/>
    </xf>
    <xf numFmtId="2" fontId="16" fillId="9" borderId="5" xfId="0" applyNumberFormat="1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2" fontId="16" fillId="9" borderId="1" xfId="0" applyNumberFormat="1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left" vertical="center" wrapText="1"/>
    </xf>
    <xf numFmtId="0" fontId="16" fillId="9" borderId="7" xfId="0" applyFont="1" applyFill="1" applyBorder="1" applyAlignment="1">
      <alignment horizontal="left" vertical="center" wrapText="1"/>
    </xf>
    <xf numFmtId="1" fontId="6" fillId="5" borderId="1" xfId="0" applyNumberFormat="1" applyFont="1" applyFill="1" applyBorder="1" applyAlignment="1">
      <alignment horizontal="center" wrapText="1"/>
    </xf>
    <xf numFmtId="0" fontId="16" fillId="9" borderId="0" xfId="0" applyFont="1" applyFill="1" applyAlignment="1">
      <alignment horizontal="left" vertical="center" wrapText="1"/>
    </xf>
    <xf numFmtId="0" fontId="17" fillId="10" borderId="9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6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24">
    <dxf>
      <fill>
        <patternFill>
          <bgColor theme="3" tint="0.499984740745262"/>
        </patternFill>
      </fill>
    </dxf>
    <dxf>
      <font>
        <color theme="0"/>
      </font>
      <fill>
        <patternFill>
          <bgColor theme="3" tint="0.24994659260841701"/>
        </patternFill>
      </fill>
    </dxf>
    <dxf>
      <fill>
        <patternFill>
          <bgColor theme="3" tint="0.89996032593768116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numFmt numFmtId="0" formatCode="General"/>
      <fill>
        <patternFill patternType="solid">
          <fgColor indexed="64"/>
          <bgColor rgb="FFE2EFDA"/>
        </patternFill>
      </fill>
      <alignment horizontal="left" vertical="center" wrapText="1"/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numFmt numFmtId="2" formatCode="0.00"/>
      <fill>
        <patternFill patternType="solid">
          <fgColor indexed="64"/>
          <bgColor rgb="FFE2EFDA"/>
        </patternFill>
      </fill>
      <alignment horizontal="center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numFmt numFmtId="0" formatCode="General"/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/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center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000000"/>
        <name val="Calibri"/>
        <family val="2"/>
      </font>
      <fill>
        <patternFill patternType="solid">
          <fgColor indexed="64"/>
          <bgColor rgb="FFE2EFDA"/>
        </patternFill>
      </fill>
      <alignment horizontal="center" vertical="center" wrapText="1"/>
      <border outline="0">
        <left/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center" vertical="center" wrapText="1"/>
      <border outline="0">
        <left/>
        <right style="thin">
          <color rgb="FFA6A6A6"/>
        </right>
        <top style="thin">
          <color rgb="FFA6A6A6"/>
        </top>
        <bottom/>
      </border>
    </dxf>
    <dxf>
      <font>
        <strike val="0"/>
        <condense val="0"/>
        <extend val="0"/>
        <outline val="0"/>
        <shadow val="0"/>
        <vertAlign val="baseline"/>
        <sz val="12"/>
        <color rgb="FF1B2A4A"/>
        <name val="Calibri"/>
        <family val="2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center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center" vertical="center" wrapText="1"/>
      <border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outline="0">
        <right style="thin">
          <color rgb="FFA6A6A6"/>
        </right>
        <top style="thin">
          <color rgb="FFA6A6A6"/>
        </top>
      </border>
    </dxf>
    <dxf>
      <font>
        <strike val="0"/>
        <condense val="0"/>
        <extend val="0"/>
        <outline val="0"/>
        <shadow val="0"/>
        <vertAlign val="baseline"/>
        <sz val="12"/>
        <color rgb="FF548235"/>
        <name val="Calibri"/>
        <family val="2"/>
      </font>
      <fill>
        <patternFill patternType="solid">
          <fgColor indexed="64"/>
          <bgColor rgb="FFE2EFDA"/>
        </patternFill>
      </fill>
      <alignment horizontal="left" vertical="center" wrapText="1"/>
    </dxf>
    <dxf>
      <font>
        <b/>
        <strike val="0"/>
        <condense val="0"/>
        <extend val="0"/>
        <outline val="0"/>
        <shadow val="0"/>
        <vertAlign val="baseline"/>
        <sz val="12"/>
        <color rgb="FFFFFFFF"/>
        <name val="Calibri"/>
        <family val="2"/>
      </font>
      <fill>
        <patternFill patternType="solid">
          <fgColor indexed="64"/>
          <bgColor rgb="FF1F4E78"/>
        </patternFill>
      </fill>
      <alignment horizontal="center" vertical="center" wrapText="1"/>
      <border outline="0">
        <left style="thin">
          <color rgb="FFA6A6A6"/>
        </left>
        <right style="thin">
          <color rgb="FFA6A6A6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" displayName="Table4" ref="A4:R192" totalsRowShown="0" headerRowDxfId="23" dataDxfId="22" tableBorderDxfId="21">
  <autoFilter ref="A4:R192" xr:uid="{00000000-0009-0000-0100-000001000000}"/>
  <tableColumns count="18">
    <tableColumn id="1" xr3:uid="{00000000-0010-0000-0000-000001000000}" name="ref_id" dataDxfId="20"/>
    <tableColumn id="2" xr3:uid="{00000000-0010-0000-0000-000002000000}" name="nome" dataDxfId="19"/>
    <tableColumn id="21" xr3:uid="{00000000-0010-0000-0000-000015000000}" name="Unid_caixa" dataDxfId="18"/>
    <tableColumn id="19" xr3:uid="{00000000-0010-0000-0000-000013000000}" name="nao_produzir_segunda" dataDxfId="17"/>
    <tableColumn id="3" xr3:uid="{00000000-0010-0000-0000-000003000000}" name="família" dataDxfId="16"/>
    <tableColumn id="4" xr3:uid="{00000000-0010-0000-0000-000004000000}" name="ativa" dataDxfId="15"/>
    <tableColumn id="10" xr3:uid="{00000000-0010-0000-0000-00000A000000}" name="pode_L1" dataDxfId="14"/>
    <tableColumn id="11" xr3:uid="{00000000-0010-0000-0000-00000B000000}" name="tempo_L1_prod_min (cadência de L1)" dataDxfId="13"/>
    <tableColumn id="12" xr3:uid="{00000000-0010-0000-0000-00000C000000}" name="operadores_nec_L1_acab" dataDxfId="12"/>
    <tableColumn id="13" xr3:uid="{00000000-0010-0000-0000-00000D000000}" name="operadores_nec_L1_prod" dataDxfId="11"/>
    <tableColumn id="14" xr3:uid="{00000000-0010-0000-0000-00000E000000}" name="pode_L2" dataDxfId="10"/>
    <tableColumn id="15" xr3:uid="{00000000-0010-0000-0000-00000F000000}" name="tempo_L2_prod_min (cadência de L2)" dataDxfId="9"/>
    <tableColumn id="16" xr3:uid="{00000000-0010-0000-0000-000010000000}" name="tempo_L2_acab_min (cadência de L2)" dataDxfId="8"/>
    <tableColumn id="20" xr3:uid="{00000000-0010-0000-0000-000014000000}" name="operadores_nec_L2_acab" dataDxfId="7"/>
    <tableColumn id="17" xr3:uid="{00000000-0010-0000-0000-000011000000}" name="operadores_nec_L2_prod" dataDxfId="6"/>
    <tableColumn id="5" xr3:uid="{00000000-0010-0000-0000-000005000000}" name="kg" dataDxfId="5"/>
    <tableColumn id="18" xr3:uid="{00000000-0010-0000-0000-000012000000}" name="euros" dataDxfId="4"/>
    <tableColumn id="6" xr3:uid="{00000000-0010-0000-0000-000006000000}" name="abc" dataDxfId="3">
      <calculatedColumnFormula>_xlfn.XLOOKUP(Table4[[#This Row],[ref_id]],$AB$5:$AB$182,$AC$5:$AC$182)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opLeftCell="A21" zoomScale="72" workbookViewId="0">
      <selection activeCell="B7" sqref="B7"/>
    </sheetView>
  </sheetViews>
  <sheetFormatPr defaultRowHeight="14.5" x14ac:dyDescent="0.35"/>
  <cols>
    <col min="1" max="1" width="38" customWidth="1"/>
    <col min="2" max="2" width="22" customWidth="1"/>
    <col min="3" max="3" width="65" customWidth="1"/>
  </cols>
  <sheetData>
    <row r="1" spans="1:3" ht="18.5" customHeight="1" x14ac:dyDescent="0.45">
      <c r="A1" s="57" t="s">
        <v>87</v>
      </c>
      <c r="B1" s="62"/>
      <c r="C1" s="62"/>
    </row>
    <row r="3" spans="1:3" x14ac:dyDescent="0.35">
      <c r="A3" s="1" t="s">
        <v>88</v>
      </c>
      <c r="B3" s="1" t="s">
        <v>89</v>
      </c>
      <c r="C3" s="1" t="s">
        <v>90</v>
      </c>
    </row>
    <row r="4" spans="1:3" x14ac:dyDescent="0.35">
      <c r="A4" s="7" t="s">
        <v>91</v>
      </c>
      <c r="B4" s="31">
        <v>46204</v>
      </c>
      <c r="C4" s="3"/>
    </row>
    <row r="5" spans="1:3" x14ac:dyDescent="0.35">
      <c r="A5" s="7" t="s">
        <v>92</v>
      </c>
      <c r="B5" s="31">
        <v>46233</v>
      </c>
      <c r="C5" s="3"/>
    </row>
    <row r="6" spans="1:3" x14ac:dyDescent="0.35">
      <c r="A6" s="64" t="s">
        <v>93</v>
      </c>
      <c r="B6" s="62"/>
      <c r="C6" s="62"/>
    </row>
    <row r="7" spans="1:3" ht="45" customHeight="1" x14ac:dyDescent="0.35">
      <c r="A7" s="2" t="s">
        <v>94</v>
      </c>
      <c r="B7" s="8">
        <f>8*60</f>
        <v>480</v>
      </c>
      <c r="C7" s="9" t="s">
        <v>95</v>
      </c>
    </row>
    <row r="8" spans="1:3" hidden="1" x14ac:dyDescent="0.35">
      <c r="A8" s="7" t="s">
        <v>96</v>
      </c>
      <c r="B8" s="10">
        <v>0.25</v>
      </c>
      <c r="C8" s="9"/>
    </row>
    <row r="9" spans="1:3" hidden="1" x14ac:dyDescent="0.35">
      <c r="A9" s="7" t="s">
        <v>97</v>
      </c>
      <c r="B9" s="10">
        <v>0.60416666666666663</v>
      </c>
      <c r="C9" s="3"/>
    </row>
    <row r="11" spans="1:3" hidden="1" x14ac:dyDescent="0.35">
      <c r="A11" s="64" t="s">
        <v>98</v>
      </c>
      <c r="B11" s="62"/>
      <c r="C11" s="62"/>
    </row>
    <row r="12" spans="1:3" hidden="1" x14ac:dyDescent="0.35">
      <c r="A12" s="7" t="s">
        <v>99</v>
      </c>
      <c r="B12" s="8">
        <v>3</v>
      </c>
      <c r="C12" s="9"/>
    </row>
    <row r="13" spans="1:3" hidden="1" x14ac:dyDescent="0.35">
      <c r="A13" s="7" t="s">
        <v>100</v>
      </c>
      <c r="B13" s="8">
        <f>9*60</f>
        <v>540</v>
      </c>
      <c r="C13" s="11" t="s">
        <v>101</v>
      </c>
    </row>
    <row r="15" spans="1:3" x14ac:dyDescent="0.35">
      <c r="A15" s="64" t="s">
        <v>102</v>
      </c>
      <c r="B15" s="62"/>
      <c r="C15" s="62"/>
    </row>
    <row r="16" spans="1:3" x14ac:dyDescent="0.35">
      <c r="A16" s="7" t="s">
        <v>103</v>
      </c>
      <c r="B16" s="27" t="s">
        <v>104</v>
      </c>
      <c r="C16" s="9" t="s">
        <v>105</v>
      </c>
    </row>
    <row r="17" spans="1:3" x14ac:dyDescent="0.35">
      <c r="A17" s="7" t="s">
        <v>106</v>
      </c>
      <c r="B17" s="27" t="s">
        <v>107</v>
      </c>
      <c r="C17" s="9" t="s">
        <v>108</v>
      </c>
    </row>
    <row r="18" spans="1:3" x14ac:dyDescent="0.35">
      <c r="A18" s="7" t="s">
        <v>109</v>
      </c>
      <c r="B18" s="8">
        <f>8*60</f>
        <v>480</v>
      </c>
      <c r="C18" s="11" t="s">
        <v>110</v>
      </c>
    </row>
    <row r="19" spans="1:3" x14ac:dyDescent="0.35">
      <c r="A19" s="7" t="s">
        <v>111</v>
      </c>
      <c r="B19" s="27" t="s">
        <v>112</v>
      </c>
      <c r="C19" s="9" t="s">
        <v>113</v>
      </c>
    </row>
    <row r="20" spans="1:3" x14ac:dyDescent="0.35">
      <c r="A20" s="7" t="s">
        <v>114</v>
      </c>
      <c r="B20" s="27" t="s">
        <v>115</v>
      </c>
      <c r="C20" s="9" t="s">
        <v>116</v>
      </c>
    </row>
    <row r="21" spans="1:3" ht="26" customHeight="1" x14ac:dyDescent="0.35">
      <c r="A21" s="7" t="s">
        <v>117</v>
      </c>
      <c r="B21" s="8">
        <f>8*60</f>
        <v>480</v>
      </c>
      <c r="C21" s="11" t="s">
        <v>110</v>
      </c>
    </row>
    <row r="22" spans="1:3" x14ac:dyDescent="0.35">
      <c r="A22" s="7" t="s">
        <v>118</v>
      </c>
      <c r="B22" s="8" t="s">
        <v>119</v>
      </c>
      <c r="C22" s="9" t="s">
        <v>120</v>
      </c>
    </row>
    <row r="24" spans="1:3" x14ac:dyDescent="0.35">
      <c r="A24" s="64" t="s">
        <v>121</v>
      </c>
      <c r="B24" s="62"/>
      <c r="C24" s="62"/>
    </row>
    <row r="25" spans="1:3" x14ac:dyDescent="0.35">
      <c r="A25" s="7" t="s">
        <v>122</v>
      </c>
      <c r="B25" s="27" t="s">
        <v>104</v>
      </c>
      <c r="C25" s="9" t="s">
        <v>105</v>
      </c>
    </row>
    <row r="26" spans="1:3" x14ac:dyDescent="0.35">
      <c r="A26" s="7" t="s">
        <v>123</v>
      </c>
      <c r="B26" s="27" t="s">
        <v>107</v>
      </c>
      <c r="C26" s="9" t="s">
        <v>108</v>
      </c>
    </row>
    <row r="27" spans="1:3" x14ac:dyDescent="0.35">
      <c r="A27" s="7" t="s">
        <v>124</v>
      </c>
      <c r="B27" s="8">
        <f>8*60</f>
        <v>480</v>
      </c>
      <c r="C27" s="11" t="s">
        <v>110</v>
      </c>
    </row>
    <row r="28" spans="1:3" x14ac:dyDescent="0.35">
      <c r="A28" s="7" t="s">
        <v>125</v>
      </c>
      <c r="B28" s="27" t="s">
        <v>112</v>
      </c>
      <c r="C28" s="9" t="s">
        <v>113</v>
      </c>
    </row>
    <row r="29" spans="1:3" x14ac:dyDescent="0.35">
      <c r="A29" s="7" t="s">
        <v>126</v>
      </c>
      <c r="B29" s="27" t="s">
        <v>115</v>
      </c>
      <c r="C29" s="9" t="s">
        <v>108</v>
      </c>
    </row>
    <row r="30" spans="1:3" ht="26" customHeight="1" x14ac:dyDescent="0.35">
      <c r="A30" s="7" t="s">
        <v>127</v>
      </c>
      <c r="B30" s="8">
        <f>8*60</f>
        <v>480</v>
      </c>
      <c r="C30" s="11" t="s">
        <v>110</v>
      </c>
    </row>
    <row r="31" spans="1:3" x14ac:dyDescent="0.35">
      <c r="A31" s="7" t="s">
        <v>128</v>
      </c>
      <c r="B31" s="8"/>
      <c r="C31" s="11" t="s">
        <v>129</v>
      </c>
    </row>
    <row r="33" spans="1:3" x14ac:dyDescent="0.35">
      <c r="A33" s="64" t="s">
        <v>130</v>
      </c>
      <c r="B33" s="62"/>
      <c r="C33" s="62"/>
    </row>
    <row r="34" spans="1:3" x14ac:dyDescent="0.35">
      <c r="A34" s="12" t="s">
        <v>131</v>
      </c>
      <c r="B34" s="8">
        <f>30 - 3-3-1-3-2</f>
        <v>18</v>
      </c>
      <c r="C34" s="26" t="s">
        <v>132</v>
      </c>
    </row>
    <row r="37" spans="1:3" x14ac:dyDescent="0.35">
      <c r="A37" s="63" t="s">
        <v>133</v>
      </c>
      <c r="B37" s="62"/>
      <c r="C37" s="62"/>
    </row>
    <row r="39" spans="1:3" x14ac:dyDescent="0.35">
      <c r="A39" s="66" t="s">
        <v>134</v>
      </c>
      <c r="B39" s="62"/>
      <c r="C39" s="62"/>
    </row>
    <row r="40" spans="1:3" x14ac:dyDescent="0.35">
      <c r="A40" s="65" t="s">
        <v>135</v>
      </c>
      <c r="B40" s="62"/>
      <c r="C40" s="62"/>
    </row>
    <row r="41" spans="1:3" x14ac:dyDescent="0.35">
      <c r="A41" s="65"/>
      <c r="B41" s="62"/>
      <c r="C41" s="62"/>
    </row>
    <row r="42" spans="1:3" x14ac:dyDescent="0.35">
      <c r="A42" s="68" t="s">
        <v>136</v>
      </c>
      <c r="B42" s="62"/>
      <c r="C42" s="62"/>
    </row>
    <row r="43" spans="1:3" x14ac:dyDescent="0.35">
      <c r="A43" s="67" t="s">
        <v>137</v>
      </c>
      <c r="B43" s="62"/>
      <c r="C43" s="62"/>
    </row>
    <row r="44" spans="1:3" x14ac:dyDescent="0.35">
      <c r="A44" s="65" t="s">
        <v>138</v>
      </c>
      <c r="B44" s="62"/>
      <c r="C44" s="62"/>
    </row>
    <row r="45" spans="1:3" x14ac:dyDescent="0.35">
      <c r="A45" s="61"/>
      <c r="B45" s="62"/>
      <c r="C45" s="62"/>
    </row>
    <row r="46" spans="1:3" x14ac:dyDescent="0.35">
      <c r="A46" s="61"/>
      <c r="B46" s="62"/>
      <c r="C46" s="62"/>
    </row>
    <row r="47" spans="1:3" x14ac:dyDescent="0.35">
      <c r="A47" s="61"/>
      <c r="B47" s="62"/>
      <c r="C47" s="62"/>
    </row>
  </sheetData>
  <mergeCells count="16">
    <mergeCell ref="A47:C47"/>
    <mergeCell ref="A45:C45"/>
    <mergeCell ref="A37:C37"/>
    <mergeCell ref="A1:C1"/>
    <mergeCell ref="A46:C46"/>
    <mergeCell ref="A6:C6"/>
    <mergeCell ref="A40:C40"/>
    <mergeCell ref="A39:C39"/>
    <mergeCell ref="A15:C15"/>
    <mergeCell ref="A43:C43"/>
    <mergeCell ref="A24:C24"/>
    <mergeCell ref="A42:C42"/>
    <mergeCell ref="A41:C41"/>
    <mergeCell ref="A33:C33"/>
    <mergeCell ref="A11:C11"/>
    <mergeCell ref="A44:C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92"/>
  <sheetViews>
    <sheetView topLeftCell="C1" zoomScale="54" zoomScaleNormal="49" workbookViewId="0">
      <selection activeCell="A189" sqref="A189"/>
    </sheetView>
  </sheetViews>
  <sheetFormatPr defaultRowHeight="14.5" x14ac:dyDescent="0.35"/>
  <cols>
    <col min="1" max="1" width="79.81640625" bestFit="1" customWidth="1"/>
    <col min="2" max="3" width="79.81640625" customWidth="1"/>
    <col min="4" max="4" width="29.1796875" customWidth="1"/>
    <col min="5" max="5" width="20.453125" customWidth="1"/>
    <col min="6" max="6" width="14" style="14" customWidth="1"/>
    <col min="7" max="7" width="10.36328125" customWidth="1"/>
    <col min="8" max="9" width="35.6328125" customWidth="1"/>
    <col min="10" max="10" width="20" customWidth="1"/>
    <col min="11" max="11" width="10.36328125" customWidth="1"/>
    <col min="12" max="12" width="35.6328125" customWidth="1"/>
    <col min="13" max="14" width="35.54296875" customWidth="1"/>
    <col min="15" max="15" width="20" customWidth="1"/>
    <col min="16" max="16" width="13" customWidth="1"/>
    <col min="17" max="17" width="13.36328125" style="14" customWidth="1"/>
    <col min="18" max="18" width="31.36328125" customWidth="1"/>
    <col min="23" max="23" width="20.1796875" customWidth="1"/>
    <col min="24" max="24" width="15.6328125" style="14" customWidth="1"/>
    <col min="25" max="28" width="17" customWidth="1"/>
  </cols>
  <sheetData>
    <row r="1" spans="1:29" ht="18.5" customHeight="1" x14ac:dyDescent="0.45">
      <c r="A1" s="57" t="s">
        <v>139</v>
      </c>
      <c r="B1" s="62"/>
      <c r="C1" s="62"/>
      <c r="D1" s="62"/>
      <c r="E1" s="62"/>
      <c r="F1" s="58"/>
      <c r="G1" s="62"/>
      <c r="H1" s="62"/>
      <c r="I1" s="62"/>
      <c r="J1" s="62"/>
      <c r="K1" s="62"/>
      <c r="L1" s="62"/>
      <c r="M1" s="62"/>
      <c r="N1" s="62"/>
      <c r="O1" s="62"/>
    </row>
    <row r="2" spans="1:29" ht="50" customHeight="1" x14ac:dyDescent="0.35">
      <c r="A2" s="69" t="s">
        <v>140</v>
      </c>
      <c r="B2" s="62"/>
      <c r="C2" s="62"/>
      <c r="D2" s="62"/>
      <c r="E2" s="62"/>
      <c r="F2" s="58"/>
      <c r="G2" s="62"/>
      <c r="H2" s="62"/>
      <c r="I2" s="62"/>
      <c r="J2" s="62"/>
      <c r="K2" s="62"/>
      <c r="L2" s="62"/>
      <c r="M2" s="62"/>
      <c r="N2" s="62"/>
      <c r="O2" s="62"/>
      <c r="P2" s="62"/>
      <c r="Q2" s="58"/>
    </row>
    <row r="4" spans="1:29" ht="31" customHeight="1" x14ac:dyDescent="0.35">
      <c r="A4" s="15" t="s">
        <v>2</v>
      </c>
      <c r="B4" s="16" t="s">
        <v>141</v>
      </c>
      <c r="C4" s="15" t="s">
        <v>142</v>
      </c>
      <c r="D4" s="16" t="s">
        <v>143</v>
      </c>
      <c r="E4" s="17" t="s">
        <v>144</v>
      </c>
      <c r="F4" s="18" t="s">
        <v>145</v>
      </c>
      <c r="G4" s="17" t="s">
        <v>146</v>
      </c>
      <c r="H4" s="17" t="s">
        <v>147</v>
      </c>
      <c r="I4" s="17" t="s">
        <v>148</v>
      </c>
      <c r="J4" s="17" t="s">
        <v>149</v>
      </c>
      <c r="K4" s="17" t="s">
        <v>150</v>
      </c>
      <c r="L4" s="17" t="s">
        <v>151</v>
      </c>
      <c r="M4" s="17" t="s">
        <v>152</v>
      </c>
      <c r="N4" s="17" t="s">
        <v>153</v>
      </c>
      <c r="O4" s="17" t="s">
        <v>154</v>
      </c>
      <c r="P4" s="39" t="s">
        <v>155</v>
      </c>
      <c r="Q4" s="39" t="s">
        <v>156</v>
      </c>
      <c r="R4" s="39" t="s">
        <v>157</v>
      </c>
    </row>
    <row r="5" spans="1:29" ht="15.5" customHeight="1" x14ac:dyDescent="0.35">
      <c r="A5" s="42" t="s">
        <v>80</v>
      </c>
      <c r="B5" s="42" t="s">
        <v>158</v>
      </c>
      <c r="C5" s="42">
        <v>2</v>
      </c>
      <c r="D5" s="43">
        <v>1</v>
      </c>
      <c r="E5" s="40" t="s">
        <v>159</v>
      </c>
      <c r="F5" s="42" t="s">
        <v>160</v>
      </c>
      <c r="G5" s="44" t="s">
        <v>160</v>
      </c>
      <c r="H5" s="44">
        <v>220</v>
      </c>
      <c r="I5" s="44">
        <v>3</v>
      </c>
      <c r="J5" s="44">
        <v>4</v>
      </c>
      <c r="K5" s="44" t="s">
        <v>161</v>
      </c>
      <c r="L5" s="44" t="s">
        <v>162</v>
      </c>
      <c r="M5" s="44" t="s">
        <v>162</v>
      </c>
      <c r="N5" s="44" t="s">
        <v>162</v>
      </c>
      <c r="O5" s="44" t="s">
        <v>162</v>
      </c>
      <c r="P5" s="45">
        <v>4.4000000000000004</v>
      </c>
      <c r="Q5" s="46">
        <v>23.46</v>
      </c>
      <c r="R5" s="54" t="str">
        <f>_xlfn.XLOOKUP(Table4[[#This Row],[ref_id]],$AB$5:$AB$182,$AC$5:$AC$182)</f>
        <v>A</v>
      </c>
      <c r="AB5" s="55" t="s">
        <v>60</v>
      </c>
      <c r="AC5" s="55" t="s">
        <v>163</v>
      </c>
    </row>
    <row r="6" spans="1:29" ht="15.5" customHeight="1" x14ac:dyDescent="0.35">
      <c r="A6" s="42" t="s">
        <v>81</v>
      </c>
      <c r="B6" s="42" t="s">
        <v>164</v>
      </c>
      <c r="C6" s="42">
        <v>2</v>
      </c>
      <c r="D6" s="43">
        <v>1</v>
      </c>
      <c r="E6" s="40" t="s">
        <v>159</v>
      </c>
      <c r="F6" s="42" t="s">
        <v>160</v>
      </c>
      <c r="G6" s="44" t="s">
        <v>160</v>
      </c>
      <c r="H6" s="44">
        <v>280</v>
      </c>
      <c r="I6" s="44">
        <v>3</v>
      </c>
      <c r="J6" s="44">
        <v>5</v>
      </c>
      <c r="K6" s="44" t="s">
        <v>161</v>
      </c>
      <c r="L6" s="44" t="s">
        <v>162</v>
      </c>
      <c r="M6" s="44" t="s">
        <v>162</v>
      </c>
      <c r="N6" s="44" t="s">
        <v>162</v>
      </c>
      <c r="O6" s="44" t="s">
        <v>162</v>
      </c>
      <c r="P6" s="47">
        <v>4.4000000000000004</v>
      </c>
      <c r="Q6" s="46">
        <v>23.46</v>
      </c>
      <c r="R6" s="54" t="str">
        <f>_xlfn.XLOOKUP(Table4[[#This Row],[ref_id]],$AB$5:$AB$182,$AC$5:$AC$182)</f>
        <v>B</v>
      </c>
      <c r="AB6" s="56" t="s">
        <v>61</v>
      </c>
      <c r="AC6" s="56" t="s">
        <v>163</v>
      </c>
    </row>
    <row r="7" spans="1:29" ht="15.5" customHeight="1" x14ac:dyDescent="0.35">
      <c r="A7" s="42" t="s">
        <v>82</v>
      </c>
      <c r="B7" s="42" t="s">
        <v>165</v>
      </c>
      <c r="C7" s="42">
        <v>2</v>
      </c>
      <c r="D7" s="43">
        <v>1</v>
      </c>
      <c r="E7" s="40" t="s">
        <v>159</v>
      </c>
      <c r="F7" s="42" t="s">
        <v>160</v>
      </c>
      <c r="G7" s="44" t="s">
        <v>161</v>
      </c>
      <c r="H7" s="44" t="s">
        <v>162</v>
      </c>
      <c r="I7" s="44" t="s">
        <v>162</v>
      </c>
      <c r="J7" s="44" t="s">
        <v>162</v>
      </c>
      <c r="K7" s="44" t="s">
        <v>160</v>
      </c>
      <c r="L7" s="44">
        <v>250</v>
      </c>
      <c r="M7" s="44">
        <v>220</v>
      </c>
      <c r="N7" s="44">
        <v>3</v>
      </c>
      <c r="O7" s="44">
        <v>1</v>
      </c>
      <c r="P7" s="47">
        <v>4.4000000000000004</v>
      </c>
      <c r="Q7" s="46">
        <v>23.46</v>
      </c>
      <c r="R7" s="54" t="str">
        <f>_xlfn.XLOOKUP(Table4[[#This Row],[ref_id]],$AB$5:$AB$182,$AC$5:$AC$182)</f>
        <v>A</v>
      </c>
      <c r="AB7" s="55" t="s">
        <v>166</v>
      </c>
      <c r="AC7" s="55" t="s">
        <v>163</v>
      </c>
    </row>
    <row r="8" spans="1:29" ht="15.5" customHeight="1" x14ac:dyDescent="0.35">
      <c r="A8" s="42" t="s">
        <v>167</v>
      </c>
      <c r="B8" s="42" t="s">
        <v>168</v>
      </c>
      <c r="C8" s="42">
        <v>2</v>
      </c>
      <c r="D8" s="43">
        <v>1</v>
      </c>
      <c r="E8" s="40" t="s">
        <v>169</v>
      </c>
      <c r="F8" s="42" t="s">
        <v>160</v>
      </c>
      <c r="G8" s="44" t="s">
        <v>160</v>
      </c>
      <c r="H8" s="44">
        <v>180</v>
      </c>
      <c r="I8" s="44">
        <v>5</v>
      </c>
      <c r="J8" s="44">
        <v>4</v>
      </c>
      <c r="K8" s="44" t="s">
        <v>161</v>
      </c>
      <c r="L8" s="44" t="s">
        <v>162</v>
      </c>
      <c r="M8" s="44" t="s">
        <v>162</v>
      </c>
      <c r="N8" s="44" t="s">
        <v>162</v>
      </c>
      <c r="O8" s="44" t="s">
        <v>162</v>
      </c>
      <c r="P8" s="47">
        <v>3.2</v>
      </c>
      <c r="Q8" s="48">
        <v>20.22</v>
      </c>
      <c r="R8" s="54" t="str">
        <f>_xlfn.XLOOKUP(Table4[[#This Row],[ref_id]],$AB$5:$AB$182,$AC$5:$AC$182)</f>
        <v>B</v>
      </c>
      <c r="AB8" s="56" t="s">
        <v>76</v>
      </c>
      <c r="AC8" s="56" t="s">
        <v>163</v>
      </c>
    </row>
    <row r="9" spans="1:29" ht="15.5" customHeight="1" x14ac:dyDescent="0.35">
      <c r="A9" s="42" t="s">
        <v>170</v>
      </c>
      <c r="B9" s="42" t="s">
        <v>171</v>
      </c>
      <c r="C9" s="42">
        <v>2</v>
      </c>
      <c r="D9" s="43">
        <v>1</v>
      </c>
      <c r="E9" s="40" t="s">
        <v>169</v>
      </c>
      <c r="F9" s="42" t="s">
        <v>160</v>
      </c>
      <c r="G9" s="44" t="s">
        <v>160</v>
      </c>
      <c r="H9" s="44">
        <v>180</v>
      </c>
      <c r="I9" s="44">
        <v>5</v>
      </c>
      <c r="J9" s="44">
        <v>4</v>
      </c>
      <c r="K9" s="44" t="s">
        <v>161</v>
      </c>
      <c r="L9" s="44" t="s">
        <v>162</v>
      </c>
      <c r="M9" s="44" t="s">
        <v>162</v>
      </c>
      <c r="N9" s="44" t="s">
        <v>162</v>
      </c>
      <c r="O9" s="44" t="s">
        <v>162</v>
      </c>
      <c r="P9" s="47">
        <v>3.2</v>
      </c>
      <c r="Q9" s="48">
        <v>21</v>
      </c>
      <c r="R9" s="54" t="str">
        <f>_xlfn.XLOOKUP(Table4[[#This Row],[ref_id]],$AB$5:$AB$182,$AC$5:$AC$182)</f>
        <v>C</v>
      </c>
      <c r="AB9" s="55" t="s">
        <v>78</v>
      </c>
      <c r="AC9" s="55" t="s">
        <v>163</v>
      </c>
    </row>
    <row r="10" spans="1:29" ht="15.5" customHeight="1" x14ac:dyDescent="0.35">
      <c r="A10" s="42" t="s">
        <v>172</v>
      </c>
      <c r="B10" s="42" t="s">
        <v>173</v>
      </c>
      <c r="C10" s="42">
        <v>2</v>
      </c>
      <c r="D10" s="43">
        <v>1</v>
      </c>
      <c r="E10" s="40" t="s">
        <v>169</v>
      </c>
      <c r="F10" s="42" t="s">
        <v>160</v>
      </c>
      <c r="G10" s="44" t="s">
        <v>160</v>
      </c>
      <c r="H10" s="44">
        <v>180</v>
      </c>
      <c r="I10" s="44">
        <v>5</v>
      </c>
      <c r="J10" s="44">
        <v>4</v>
      </c>
      <c r="K10" s="44" t="s">
        <v>161</v>
      </c>
      <c r="L10" s="44" t="s">
        <v>162</v>
      </c>
      <c r="M10" s="44" t="s">
        <v>162</v>
      </c>
      <c r="N10" s="44" t="s">
        <v>162</v>
      </c>
      <c r="O10" s="44" t="s">
        <v>162</v>
      </c>
      <c r="P10" s="47">
        <v>3.4</v>
      </c>
      <c r="Q10" s="48">
        <v>21.61</v>
      </c>
      <c r="R10" s="54" t="str">
        <f>_xlfn.XLOOKUP(Table4[[#This Row],[ref_id]],$AB$5:$AB$182,$AC$5:$AC$182)</f>
        <v>C</v>
      </c>
      <c r="AB10" s="56" t="s">
        <v>19</v>
      </c>
      <c r="AC10" s="56" t="s">
        <v>163</v>
      </c>
    </row>
    <row r="11" spans="1:29" ht="15.5" customHeight="1" x14ac:dyDescent="0.35">
      <c r="A11" s="42" t="s">
        <v>174</v>
      </c>
      <c r="B11" s="42" t="s">
        <v>175</v>
      </c>
      <c r="C11" s="42">
        <v>2</v>
      </c>
      <c r="D11" s="43">
        <v>1</v>
      </c>
      <c r="E11" s="40" t="s">
        <v>169</v>
      </c>
      <c r="F11" s="42" t="s">
        <v>160</v>
      </c>
      <c r="G11" s="44" t="s">
        <v>160</v>
      </c>
      <c r="H11" s="44">
        <v>180</v>
      </c>
      <c r="I11" s="44">
        <v>5</v>
      </c>
      <c r="J11" s="44">
        <v>4</v>
      </c>
      <c r="K11" s="44" t="s">
        <v>161</v>
      </c>
      <c r="L11" s="44" t="s">
        <v>162</v>
      </c>
      <c r="M11" s="44" t="s">
        <v>162</v>
      </c>
      <c r="N11" s="44" t="s">
        <v>162</v>
      </c>
      <c r="O11" s="44" t="s">
        <v>162</v>
      </c>
      <c r="P11" s="47">
        <v>3.6</v>
      </c>
      <c r="Q11" s="48">
        <v>22.26</v>
      </c>
      <c r="R11" s="54" t="str">
        <f>_xlfn.XLOOKUP(Table4[[#This Row],[ref_id]],$AB$5:$AB$182,$AC$5:$AC$182)</f>
        <v>C</v>
      </c>
      <c r="AB11" s="55" t="s">
        <v>20</v>
      </c>
      <c r="AC11" s="55" t="s">
        <v>163</v>
      </c>
    </row>
    <row r="12" spans="1:29" ht="15.5" customHeight="1" x14ac:dyDescent="0.35">
      <c r="A12" s="42" t="s">
        <v>176</v>
      </c>
      <c r="B12" s="42" t="s">
        <v>177</v>
      </c>
      <c r="C12" s="42">
        <v>2</v>
      </c>
      <c r="D12" s="43">
        <v>1</v>
      </c>
      <c r="E12" s="40" t="s">
        <v>169</v>
      </c>
      <c r="F12" s="42" t="s">
        <v>160</v>
      </c>
      <c r="G12" s="44" t="s">
        <v>160</v>
      </c>
      <c r="H12" s="44">
        <v>180</v>
      </c>
      <c r="I12" s="44">
        <v>5</v>
      </c>
      <c r="J12" s="44">
        <v>4</v>
      </c>
      <c r="K12" s="44" t="s">
        <v>161</v>
      </c>
      <c r="L12" s="44" t="s">
        <v>162</v>
      </c>
      <c r="M12" s="44" t="s">
        <v>162</v>
      </c>
      <c r="N12" s="44" t="s">
        <v>162</v>
      </c>
      <c r="O12" s="44" t="s">
        <v>162</v>
      </c>
      <c r="P12" s="47">
        <v>3.6</v>
      </c>
      <c r="Q12" s="48">
        <v>23.12</v>
      </c>
      <c r="R12" s="54" t="str">
        <f>_xlfn.XLOOKUP(Table4[[#This Row],[ref_id]],$AB$5:$AB$182,$AC$5:$AC$182)</f>
        <v>C</v>
      </c>
      <c r="AB12" s="56" t="s">
        <v>80</v>
      </c>
      <c r="AC12" s="56" t="s">
        <v>163</v>
      </c>
    </row>
    <row r="13" spans="1:29" ht="15.5" customHeight="1" x14ac:dyDescent="0.35">
      <c r="A13" s="42" t="s">
        <v>178</v>
      </c>
      <c r="B13" s="42" t="s">
        <v>179</v>
      </c>
      <c r="C13" s="42">
        <v>2</v>
      </c>
      <c r="D13" s="43">
        <v>1</v>
      </c>
      <c r="E13" s="40" t="s">
        <v>180</v>
      </c>
      <c r="F13" s="42" t="s">
        <v>160</v>
      </c>
      <c r="G13" s="44" t="s">
        <v>160</v>
      </c>
      <c r="H13" s="44">
        <v>220</v>
      </c>
      <c r="I13" s="44">
        <v>9</v>
      </c>
      <c r="J13" s="44">
        <v>6</v>
      </c>
      <c r="K13" s="44" t="s">
        <v>161</v>
      </c>
      <c r="L13" s="44" t="s">
        <v>162</v>
      </c>
      <c r="M13" s="44" t="s">
        <v>162</v>
      </c>
      <c r="N13" s="44" t="s">
        <v>162</v>
      </c>
      <c r="O13" s="44" t="s">
        <v>162</v>
      </c>
      <c r="P13" s="47">
        <v>3.6</v>
      </c>
      <c r="Q13" s="48">
        <v>25.88</v>
      </c>
      <c r="R13" s="54" t="str">
        <f>_xlfn.XLOOKUP(Table4[[#This Row],[ref_id]],$AB$5:$AB$182,$AC$5:$AC$182)</f>
        <v>B</v>
      </c>
      <c r="AB13" s="55" t="s">
        <v>67</v>
      </c>
      <c r="AC13" s="55" t="s">
        <v>163</v>
      </c>
    </row>
    <row r="14" spans="1:29" ht="15.5" customHeight="1" x14ac:dyDescent="0.35">
      <c r="A14" s="42" t="s">
        <v>181</v>
      </c>
      <c r="B14" s="42" t="s">
        <v>182</v>
      </c>
      <c r="C14" s="42">
        <v>2</v>
      </c>
      <c r="D14" s="43">
        <v>1</v>
      </c>
      <c r="E14" s="40" t="s">
        <v>180</v>
      </c>
      <c r="F14" s="42" t="s">
        <v>160</v>
      </c>
      <c r="G14" s="44" t="s">
        <v>160</v>
      </c>
      <c r="H14" s="44">
        <v>180</v>
      </c>
      <c r="I14" s="44">
        <v>9</v>
      </c>
      <c r="J14" s="44">
        <v>5</v>
      </c>
      <c r="K14" s="44" t="s">
        <v>161</v>
      </c>
      <c r="L14" s="44" t="s">
        <v>162</v>
      </c>
      <c r="M14" s="44" t="s">
        <v>162</v>
      </c>
      <c r="N14" s="44" t="s">
        <v>162</v>
      </c>
      <c r="O14" s="44" t="s">
        <v>162</v>
      </c>
      <c r="P14" s="47">
        <v>3.6</v>
      </c>
      <c r="Q14" s="48">
        <v>26.89</v>
      </c>
      <c r="R14" s="54" t="s">
        <v>183</v>
      </c>
      <c r="AB14" s="56" t="s">
        <v>184</v>
      </c>
      <c r="AC14" s="56" t="s">
        <v>163</v>
      </c>
    </row>
    <row r="15" spans="1:29" ht="15.5" customHeight="1" x14ac:dyDescent="0.35">
      <c r="A15" s="42" t="s">
        <v>185</v>
      </c>
      <c r="B15" s="42" t="s">
        <v>186</v>
      </c>
      <c r="C15" s="42">
        <v>1</v>
      </c>
      <c r="D15" s="43">
        <v>1</v>
      </c>
      <c r="E15" s="40" t="s">
        <v>180</v>
      </c>
      <c r="F15" s="42" t="s">
        <v>160</v>
      </c>
      <c r="G15" s="44" t="s">
        <v>160</v>
      </c>
      <c r="H15" s="44">
        <v>180</v>
      </c>
      <c r="I15" s="44">
        <v>9</v>
      </c>
      <c r="J15" s="44">
        <v>5</v>
      </c>
      <c r="K15" s="44" t="s">
        <v>161</v>
      </c>
      <c r="L15" s="44" t="s">
        <v>162</v>
      </c>
      <c r="M15" s="44" t="s">
        <v>162</v>
      </c>
      <c r="N15" s="44" t="s">
        <v>162</v>
      </c>
      <c r="O15" s="44" t="s">
        <v>162</v>
      </c>
      <c r="P15" s="47">
        <v>2</v>
      </c>
      <c r="Q15" s="48">
        <v>26.89</v>
      </c>
      <c r="R15" s="54" t="s">
        <v>183</v>
      </c>
      <c r="AB15" s="55" t="s">
        <v>46</v>
      </c>
      <c r="AC15" s="55" t="s">
        <v>163</v>
      </c>
    </row>
    <row r="16" spans="1:29" ht="15.5" customHeight="1" x14ac:dyDescent="0.35">
      <c r="A16" s="42" t="s">
        <v>187</v>
      </c>
      <c r="B16" s="42" t="s">
        <v>188</v>
      </c>
      <c r="C16" s="42">
        <v>45</v>
      </c>
      <c r="D16" s="43">
        <v>0</v>
      </c>
      <c r="E16" s="40" t="s">
        <v>189</v>
      </c>
      <c r="F16" s="42" t="s">
        <v>160</v>
      </c>
      <c r="G16" s="44" t="s">
        <v>161</v>
      </c>
      <c r="H16" s="44" t="s">
        <v>162</v>
      </c>
      <c r="I16" s="44" t="s">
        <v>162</v>
      </c>
      <c r="J16" s="44" t="s">
        <v>162</v>
      </c>
      <c r="K16" s="44" t="s">
        <v>160</v>
      </c>
      <c r="L16" s="44">
        <v>800</v>
      </c>
      <c r="M16" s="44">
        <v>800</v>
      </c>
      <c r="N16" s="44">
        <v>7</v>
      </c>
      <c r="O16" s="44">
        <v>0</v>
      </c>
      <c r="P16" s="47">
        <v>4.05</v>
      </c>
      <c r="Q16" s="48">
        <v>29.8</v>
      </c>
      <c r="R16" s="54" t="str">
        <f>_xlfn.XLOOKUP(Table4[[#This Row],[ref_id]],$AB$5:$AB$182,$AC$5:$AC$182)</f>
        <v>C</v>
      </c>
      <c r="AB16" s="56" t="s">
        <v>35</v>
      </c>
      <c r="AC16" s="56" t="s">
        <v>163</v>
      </c>
    </row>
    <row r="17" spans="1:29" ht="15.5" customHeight="1" x14ac:dyDescent="0.35">
      <c r="A17" s="42" t="s">
        <v>190</v>
      </c>
      <c r="B17" s="42" t="s">
        <v>191</v>
      </c>
      <c r="C17" s="42">
        <v>36</v>
      </c>
      <c r="D17" s="43">
        <v>1</v>
      </c>
      <c r="E17" s="40" t="s">
        <v>192</v>
      </c>
      <c r="F17" s="42" t="s">
        <v>160</v>
      </c>
      <c r="G17" s="44" t="s">
        <v>161</v>
      </c>
      <c r="H17" s="44" t="s">
        <v>162</v>
      </c>
      <c r="I17" s="44" t="s">
        <v>162</v>
      </c>
      <c r="J17" s="44" t="s">
        <v>162</v>
      </c>
      <c r="K17" s="44" t="s">
        <v>160</v>
      </c>
      <c r="L17" s="44">
        <v>672</v>
      </c>
      <c r="M17" s="44">
        <v>672</v>
      </c>
      <c r="N17" s="44">
        <v>3</v>
      </c>
      <c r="O17" s="44">
        <v>8</v>
      </c>
      <c r="P17" s="47">
        <v>2.88</v>
      </c>
      <c r="Q17" s="48">
        <v>20.53</v>
      </c>
      <c r="R17" s="54" t="s">
        <v>193</v>
      </c>
      <c r="AB17" s="55" t="s">
        <v>82</v>
      </c>
      <c r="AC17" s="55" t="s">
        <v>163</v>
      </c>
    </row>
    <row r="18" spans="1:29" ht="15.5" customHeight="1" x14ac:dyDescent="0.35">
      <c r="A18" s="42" t="s">
        <v>7</v>
      </c>
      <c r="B18" s="42" t="s">
        <v>194</v>
      </c>
      <c r="C18" s="42">
        <v>30</v>
      </c>
      <c r="D18" s="43">
        <v>1</v>
      </c>
      <c r="E18" s="40" t="s">
        <v>192</v>
      </c>
      <c r="F18" s="42" t="s">
        <v>160</v>
      </c>
      <c r="G18" s="44" t="s">
        <v>161</v>
      </c>
      <c r="H18" s="44" t="s">
        <v>162</v>
      </c>
      <c r="I18" s="44" t="s">
        <v>162</v>
      </c>
      <c r="J18" s="44" t="s">
        <v>162</v>
      </c>
      <c r="K18" s="44" t="s">
        <v>160</v>
      </c>
      <c r="L18" s="44">
        <v>672</v>
      </c>
      <c r="M18" s="44">
        <v>672</v>
      </c>
      <c r="N18" s="44">
        <v>3</v>
      </c>
      <c r="O18" s="44">
        <v>8</v>
      </c>
      <c r="P18" s="47">
        <v>2.4</v>
      </c>
      <c r="Q18" s="48">
        <v>17.11</v>
      </c>
      <c r="R18" s="54" t="str">
        <f>_xlfn.XLOOKUP(Table4[[#This Row],[ref_id]],$AB$5:$AB$182,$AC$5:$AC$182)</f>
        <v>C</v>
      </c>
      <c r="AB18" s="56" t="s">
        <v>11</v>
      </c>
      <c r="AC18" s="56" t="s">
        <v>183</v>
      </c>
    </row>
    <row r="19" spans="1:29" ht="15.5" customHeight="1" x14ac:dyDescent="0.35">
      <c r="A19" s="42" t="s">
        <v>55</v>
      </c>
      <c r="B19" s="42" t="s">
        <v>195</v>
      </c>
      <c r="C19" s="42">
        <v>32</v>
      </c>
      <c r="D19" s="43">
        <v>1</v>
      </c>
      <c r="E19" s="40" t="s">
        <v>196</v>
      </c>
      <c r="F19" s="42" t="s">
        <v>160</v>
      </c>
      <c r="G19" s="44" t="s">
        <v>160</v>
      </c>
      <c r="H19" s="44">
        <v>2304</v>
      </c>
      <c r="I19" s="44">
        <v>5</v>
      </c>
      <c r="J19" s="44">
        <v>5</v>
      </c>
      <c r="K19" s="44" t="s">
        <v>161</v>
      </c>
      <c r="L19" s="44" t="s">
        <v>162</v>
      </c>
      <c r="M19" s="44" t="s">
        <v>162</v>
      </c>
      <c r="N19" s="44" t="s">
        <v>162</v>
      </c>
      <c r="O19" s="44" t="s">
        <v>162</v>
      </c>
      <c r="P19" s="47">
        <v>3.84</v>
      </c>
      <c r="Q19" s="48">
        <v>22.36</v>
      </c>
      <c r="R19" s="54" t="str">
        <f>_xlfn.XLOOKUP(Table4[[#This Row],[ref_id]],$AB$5:$AB$182,$AC$5:$AC$182)</f>
        <v>C</v>
      </c>
      <c r="W19" s="13" t="s">
        <v>197</v>
      </c>
      <c r="AB19" s="55" t="s">
        <v>84</v>
      </c>
      <c r="AC19" s="55" t="s">
        <v>183</v>
      </c>
    </row>
    <row r="20" spans="1:29" ht="15.5" customHeight="1" x14ac:dyDescent="0.35">
      <c r="A20" s="42" t="s">
        <v>57</v>
      </c>
      <c r="B20" s="42" t="s">
        <v>198</v>
      </c>
      <c r="C20" s="42">
        <v>32</v>
      </c>
      <c r="D20" s="43">
        <v>0</v>
      </c>
      <c r="E20" s="40" t="s">
        <v>196</v>
      </c>
      <c r="F20" s="42" t="s">
        <v>160</v>
      </c>
      <c r="G20" s="44" t="s">
        <v>160</v>
      </c>
      <c r="H20" s="44">
        <v>2304</v>
      </c>
      <c r="I20" s="44">
        <v>5</v>
      </c>
      <c r="J20" s="44">
        <v>5</v>
      </c>
      <c r="K20" s="44" t="s">
        <v>161</v>
      </c>
      <c r="L20" s="44" t="s">
        <v>162</v>
      </c>
      <c r="M20" s="44" t="s">
        <v>162</v>
      </c>
      <c r="N20" s="44" t="s">
        <v>162</v>
      </c>
      <c r="O20" s="44" t="s">
        <v>162</v>
      </c>
      <c r="P20" s="47">
        <v>3.84</v>
      </c>
      <c r="Q20" s="48">
        <v>22.36</v>
      </c>
      <c r="R20" s="54" t="str">
        <f>_xlfn.XLOOKUP(Table4[[#This Row],[ref_id]],$AB$5:$AB$182,$AC$5:$AC$182)</f>
        <v>C</v>
      </c>
      <c r="W20" s="21" t="s">
        <v>199</v>
      </c>
      <c r="X20" s="14" t="s">
        <v>180</v>
      </c>
      <c r="AB20" s="56" t="s">
        <v>40</v>
      </c>
      <c r="AC20" s="56" t="s">
        <v>183</v>
      </c>
    </row>
    <row r="21" spans="1:29" ht="15.5" customHeight="1" x14ac:dyDescent="0.35">
      <c r="A21" s="42" t="s">
        <v>200</v>
      </c>
      <c r="B21" s="42" t="s">
        <v>201</v>
      </c>
      <c r="C21" s="42">
        <v>32</v>
      </c>
      <c r="D21" s="43">
        <v>0</v>
      </c>
      <c r="E21" s="40" t="s">
        <v>196</v>
      </c>
      <c r="F21" s="42" t="s">
        <v>160</v>
      </c>
      <c r="G21" s="44" t="s">
        <v>160</v>
      </c>
      <c r="H21" s="44">
        <v>2304</v>
      </c>
      <c r="I21" s="44">
        <v>5</v>
      </c>
      <c r="J21" s="44">
        <v>5</v>
      </c>
      <c r="K21" s="44" t="s">
        <v>161</v>
      </c>
      <c r="L21" s="44" t="s">
        <v>162</v>
      </c>
      <c r="M21" s="44" t="s">
        <v>162</v>
      </c>
      <c r="N21" s="44" t="s">
        <v>162</v>
      </c>
      <c r="O21" s="44" t="s">
        <v>162</v>
      </c>
      <c r="P21" s="47">
        <v>3.84</v>
      </c>
      <c r="Q21" s="48">
        <v>22.36</v>
      </c>
      <c r="R21" s="54" t="s">
        <v>193</v>
      </c>
      <c r="W21" s="21" t="s">
        <v>202</v>
      </c>
      <c r="X21" s="14" t="s">
        <v>203</v>
      </c>
      <c r="AB21" s="55" t="s">
        <v>36</v>
      </c>
      <c r="AC21" s="55" t="s">
        <v>183</v>
      </c>
    </row>
    <row r="22" spans="1:29" ht="15.5" customHeight="1" x14ac:dyDescent="0.35">
      <c r="A22" s="42" t="s">
        <v>204</v>
      </c>
      <c r="B22" s="42" t="s">
        <v>198</v>
      </c>
      <c r="C22" s="42">
        <v>32</v>
      </c>
      <c r="D22" s="43">
        <v>0</v>
      </c>
      <c r="E22" s="40" t="s">
        <v>196</v>
      </c>
      <c r="F22" s="42" t="s">
        <v>160</v>
      </c>
      <c r="G22" s="44" t="s">
        <v>160</v>
      </c>
      <c r="H22" s="44">
        <v>2304</v>
      </c>
      <c r="I22" s="44">
        <v>5</v>
      </c>
      <c r="J22" s="44">
        <v>5</v>
      </c>
      <c r="K22" s="44" t="s">
        <v>161</v>
      </c>
      <c r="L22" s="44" t="s">
        <v>162</v>
      </c>
      <c r="M22" s="44" t="s">
        <v>162</v>
      </c>
      <c r="N22" s="44" t="s">
        <v>162</v>
      </c>
      <c r="O22" s="44" t="s">
        <v>162</v>
      </c>
      <c r="P22" s="47">
        <v>3.84</v>
      </c>
      <c r="Q22" s="48">
        <v>22.36</v>
      </c>
      <c r="R22" s="54" t="s">
        <v>193</v>
      </c>
      <c r="W22" s="21" t="s">
        <v>205</v>
      </c>
      <c r="X22" s="14" t="s">
        <v>206</v>
      </c>
      <c r="AB22" s="56" t="s">
        <v>207</v>
      </c>
      <c r="AC22" s="56" t="s">
        <v>183</v>
      </c>
    </row>
    <row r="23" spans="1:29" ht="15.5" customHeight="1" x14ac:dyDescent="0.35">
      <c r="A23" s="42" t="s">
        <v>208</v>
      </c>
      <c r="B23" s="42" t="s">
        <v>209</v>
      </c>
      <c r="C23" s="42">
        <v>48</v>
      </c>
      <c r="D23" s="43">
        <v>1</v>
      </c>
      <c r="E23" s="40" t="s">
        <v>210</v>
      </c>
      <c r="F23" s="42" t="s">
        <v>160</v>
      </c>
      <c r="G23" s="44" t="s">
        <v>161</v>
      </c>
      <c r="H23" s="44" t="s">
        <v>162</v>
      </c>
      <c r="I23" s="44" t="s">
        <v>162</v>
      </c>
      <c r="J23" s="44" t="s">
        <v>162</v>
      </c>
      <c r="K23" s="44" t="s">
        <v>160</v>
      </c>
      <c r="L23" s="44">
        <v>240</v>
      </c>
      <c r="M23" s="44">
        <v>240</v>
      </c>
      <c r="N23" s="44">
        <v>3</v>
      </c>
      <c r="O23" s="44">
        <v>0</v>
      </c>
      <c r="P23" s="47">
        <v>5.28</v>
      </c>
      <c r="Q23" s="48">
        <v>25.4</v>
      </c>
      <c r="R23" s="54" t="str">
        <f>_xlfn.XLOOKUP(Table4[[#This Row],[ref_id]],$AB$5:$AB$182,$AC$5:$AC$182)</f>
        <v>C</v>
      </c>
      <c r="W23" s="21" t="s">
        <v>211</v>
      </c>
      <c r="X23" s="14" t="s">
        <v>212</v>
      </c>
      <c r="AB23" s="55" t="s">
        <v>213</v>
      </c>
      <c r="AC23" s="55" t="s">
        <v>183</v>
      </c>
    </row>
    <row r="24" spans="1:29" ht="15.5" customHeight="1" x14ac:dyDescent="0.35">
      <c r="A24" s="42" t="s">
        <v>56</v>
      </c>
      <c r="B24" s="42" t="s">
        <v>214</v>
      </c>
      <c r="C24" s="42">
        <v>32</v>
      </c>
      <c r="D24" s="43">
        <v>0</v>
      </c>
      <c r="E24" s="40" t="s">
        <v>196</v>
      </c>
      <c r="F24" s="42" t="s">
        <v>160</v>
      </c>
      <c r="G24" s="44" t="s">
        <v>160</v>
      </c>
      <c r="H24" s="44">
        <v>2304</v>
      </c>
      <c r="I24" s="44">
        <v>5</v>
      </c>
      <c r="J24" s="44">
        <v>3</v>
      </c>
      <c r="K24" s="44" t="s">
        <v>161</v>
      </c>
      <c r="L24" s="44" t="s">
        <v>162</v>
      </c>
      <c r="M24" s="44" t="s">
        <v>162</v>
      </c>
      <c r="N24" s="44" t="s">
        <v>162</v>
      </c>
      <c r="O24" s="44" t="s">
        <v>162</v>
      </c>
      <c r="P24" s="47">
        <v>3.84</v>
      </c>
      <c r="Q24" s="48">
        <v>22.36</v>
      </c>
      <c r="R24" s="54" t="str">
        <f>_xlfn.XLOOKUP(Table4[[#This Row],[ref_id]],$AB$5:$AB$182,$AC$5:$AC$182)</f>
        <v>C</v>
      </c>
      <c r="W24" s="21" t="s">
        <v>215</v>
      </c>
      <c r="X24" s="14" t="s">
        <v>183</v>
      </c>
      <c r="AB24" s="56" t="s">
        <v>216</v>
      </c>
      <c r="AC24" s="56" t="s">
        <v>183</v>
      </c>
    </row>
    <row r="25" spans="1:29" ht="15.5" customHeight="1" x14ac:dyDescent="0.35">
      <c r="A25" s="42" t="s">
        <v>58</v>
      </c>
      <c r="B25" s="42" t="s">
        <v>217</v>
      </c>
      <c r="C25" s="42">
        <v>32</v>
      </c>
      <c r="D25" s="43">
        <v>0</v>
      </c>
      <c r="E25" s="40" t="s">
        <v>196</v>
      </c>
      <c r="F25" s="42" t="s">
        <v>160</v>
      </c>
      <c r="G25" s="44" t="s">
        <v>160</v>
      </c>
      <c r="H25" s="44">
        <v>2304</v>
      </c>
      <c r="I25" s="44">
        <v>5</v>
      </c>
      <c r="J25" s="44">
        <v>3</v>
      </c>
      <c r="K25" s="44" t="s">
        <v>161</v>
      </c>
      <c r="L25" s="44" t="s">
        <v>162</v>
      </c>
      <c r="M25" s="44" t="s">
        <v>162</v>
      </c>
      <c r="N25" s="44" t="s">
        <v>162</v>
      </c>
      <c r="O25" s="44" t="s">
        <v>162</v>
      </c>
      <c r="P25" s="47">
        <v>3.84</v>
      </c>
      <c r="Q25" s="48">
        <v>22.79</v>
      </c>
      <c r="R25" s="54" t="str">
        <f>_xlfn.XLOOKUP(Table4[[#This Row],[ref_id]],$AB$5:$AB$182,$AC$5:$AC$182)</f>
        <v>C</v>
      </c>
      <c r="W25" s="21" t="s">
        <v>218</v>
      </c>
      <c r="X25" s="14" t="s">
        <v>219</v>
      </c>
      <c r="AB25" s="55" t="s">
        <v>70</v>
      </c>
      <c r="AC25" s="55" t="s">
        <v>183</v>
      </c>
    </row>
    <row r="26" spans="1:29" ht="15.5" customHeight="1" x14ac:dyDescent="0.35">
      <c r="A26" s="42" t="s">
        <v>19</v>
      </c>
      <c r="B26" s="42" t="s">
        <v>220</v>
      </c>
      <c r="C26" s="42">
        <v>90</v>
      </c>
      <c r="D26" s="43">
        <v>0</v>
      </c>
      <c r="E26" s="40" t="s">
        <v>221</v>
      </c>
      <c r="F26" s="42" t="s">
        <v>160</v>
      </c>
      <c r="G26" s="44" t="s">
        <v>161</v>
      </c>
      <c r="H26" s="44" t="s">
        <v>162</v>
      </c>
      <c r="I26" s="44" t="s">
        <v>162</v>
      </c>
      <c r="J26" s="44" t="s">
        <v>162</v>
      </c>
      <c r="K26" s="44" t="s">
        <v>160</v>
      </c>
      <c r="L26" s="44">
        <v>3456</v>
      </c>
      <c r="M26" s="44">
        <v>3456</v>
      </c>
      <c r="N26" s="44">
        <v>4</v>
      </c>
      <c r="O26" s="44">
        <v>9</v>
      </c>
      <c r="P26" s="47">
        <v>2.7</v>
      </c>
      <c r="Q26" s="48">
        <v>18.73</v>
      </c>
      <c r="R26" s="54" t="str">
        <f>_xlfn.XLOOKUP(Table4[[#This Row],[ref_id]],$AB$5:$AB$182,$AC$5:$AC$182)</f>
        <v>A</v>
      </c>
      <c r="W26" s="21" t="s">
        <v>222</v>
      </c>
      <c r="X26" s="14" t="s">
        <v>223</v>
      </c>
      <c r="AB26" s="56" t="s">
        <v>81</v>
      </c>
      <c r="AC26" s="56" t="s">
        <v>183</v>
      </c>
    </row>
    <row r="27" spans="1:29" ht="15.5" customHeight="1" x14ac:dyDescent="0.35">
      <c r="A27" s="42" t="s">
        <v>20</v>
      </c>
      <c r="B27" s="42" t="s">
        <v>224</v>
      </c>
      <c r="C27" s="42">
        <v>90</v>
      </c>
      <c r="D27" s="43">
        <v>0</v>
      </c>
      <c r="E27" s="40" t="s">
        <v>221</v>
      </c>
      <c r="F27" s="42" t="s">
        <v>160</v>
      </c>
      <c r="G27" s="44" t="s">
        <v>161</v>
      </c>
      <c r="H27" s="44" t="s">
        <v>162</v>
      </c>
      <c r="I27" s="44" t="s">
        <v>162</v>
      </c>
      <c r="J27" s="44" t="s">
        <v>162</v>
      </c>
      <c r="K27" s="44" t="s">
        <v>160</v>
      </c>
      <c r="L27" s="44">
        <v>3456</v>
      </c>
      <c r="M27" s="44">
        <v>3456</v>
      </c>
      <c r="N27" s="44">
        <v>4</v>
      </c>
      <c r="O27" s="44">
        <v>9</v>
      </c>
      <c r="P27" s="47">
        <v>2.7</v>
      </c>
      <c r="Q27" s="48">
        <v>18.46</v>
      </c>
      <c r="R27" s="54" t="str">
        <f>_xlfn.XLOOKUP(Table4[[#This Row],[ref_id]],$AB$5:$AB$182,$AC$5:$AC$182)</f>
        <v>A</v>
      </c>
      <c r="W27" s="21" t="s">
        <v>225</v>
      </c>
      <c r="X27" s="14" t="s">
        <v>226</v>
      </c>
      <c r="AB27" s="55" t="s">
        <v>42</v>
      </c>
      <c r="AC27" s="55" t="s">
        <v>183</v>
      </c>
    </row>
    <row r="28" spans="1:29" ht="15.5" customHeight="1" x14ac:dyDescent="0.35">
      <c r="A28" s="42" t="s">
        <v>21</v>
      </c>
      <c r="B28" s="42" t="s">
        <v>227</v>
      </c>
      <c r="C28" s="42">
        <v>90</v>
      </c>
      <c r="D28" s="43">
        <v>0</v>
      </c>
      <c r="E28" s="40" t="s">
        <v>221</v>
      </c>
      <c r="F28" s="42" t="s">
        <v>160</v>
      </c>
      <c r="G28" s="44" t="s">
        <v>161</v>
      </c>
      <c r="H28" s="44" t="s">
        <v>162</v>
      </c>
      <c r="I28" s="44" t="s">
        <v>162</v>
      </c>
      <c r="J28" s="44" t="s">
        <v>162</v>
      </c>
      <c r="K28" s="44" t="s">
        <v>160</v>
      </c>
      <c r="L28" s="44">
        <v>3456</v>
      </c>
      <c r="M28" s="44">
        <v>3456</v>
      </c>
      <c r="N28" s="44">
        <v>4</v>
      </c>
      <c r="O28" s="44">
        <v>9</v>
      </c>
      <c r="P28" s="47">
        <v>2.7</v>
      </c>
      <c r="Q28" s="48">
        <v>19.350000000000001</v>
      </c>
      <c r="R28" s="54" t="str">
        <f>_xlfn.XLOOKUP(Table4[[#This Row],[ref_id]],$AB$5:$AB$182,$AC$5:$AC$182)</f>
        <v>C</v>
      </c>
      <c r="W28" s="21" t="s">
        <v>228</v>
      </c>
      <c r="X28" s="14" t="s">
        <v>229</v>
      </c>
      <c r="AB28" s="56" t="s">
        <v>32</v>
      </c>
      <c r="AC28" s="56" t="s">
        <v>183</v>
      </c>
    </row>
    <row r="29" spans="1:29" ht="15.5" customHeight="1" x14ac:dyDescent="0.35">
      <c r="A29" s="42" t="s">
        <v>22</v>
      </c>
      <c r="B29" s="42" t="s">
        <v>230</v>
      </c>
      <c r="C29" s="42">
        <v>90</v>
      </c>
      <c r="D29" s="43">
        <v>0</v>
      </c>
      <c r="E29" s="40" t="s">
        <v>221</v>
      </c>
      <c r="F29" s="42" t="s">
        <v>160</v>
      </c>
      <c r="G29" s="44" t="s">
        <v>161</v>
      </c>
      <c r="H29" s="44" t="s">
        <v>162</v>
      </c>
      <c r="I29" s="44" t="s">
        <v>162</v>
      </c>
      <c r="J29" s="44" t="s">
        <v>162</v>
      </c>
      <c r="K29" s="44" t="s">
        <v>160</v>
      </c>
      <c r="L29" s="44">
        <v>3456</v>
      </c>
      <c r="M29" s="44">
        <v>3456</v>
      </c>
      <c r="N29" s="44">
        <v>4</v>
      </c>
      <c r="O29" s="44">
        <v>9</v>
      </c>
      <c r="P29" s="47">
        <v>2.7</v>
      </c>
      <c r="Q29" s="48">
        <v>20.69</v>
      </c>
      <c r="R29" s="54" t="str">
        <f>_xlfn.XLOOKUP(Table4[[#This Row],[ref_id]],$AB$5:$AB$182,$AC$5:$AC$182)</f>
        <v>B</v>
      </c>
      <c r="W29" s="21" t="s">
        <v>231</v>
      </c>
      <c r="X29" s="14" t="s">
        <v>232</v>
      </c>
      <c r="AB29" s="55" t="s">
        <v>71</v>
      </c>
      <c r="AC29" s="55" t="s">
        <v>183</v>
      </c>
    </row>
    <row r="30" spans="1:29" ht="15.5" customHeight="1" x14ac:dyDescent="0.35">
      <c r="A30" s="42" t="s">
        <v>23</v>
      </c>
      <c r="B30" s="42" t="s">
        <v>233</v>
      </c>
      <c r="C30" s="42">
        <v>57</v>
      </c>
      <c r="D30" s="43">
        <v>0</v>
      </c>
      <c r="E30" s="40" t="s">
        <v>221</v>
      </c>
      <c r="F30" s="42" t="s">
        <v>160</v>
      </c>
      <c r="G30" s="44" t="s">
        <v>161</v>
      </c>
      <c r="H30" s="44" t="s">
        <v>162</v>
      </c>
      <c r="I30" s="44" t="s">
        <v>162</v>
      </c>
      <c r="J30" s="44" t="s">
        <v>162</v>
      </c>
      <c r="K30" s="44" t="s">
        <v>160</v>
      </c>
      <c r="L30" s="44">
        <v>2304</v>
      </c>
      <c r="M30" s="44">
        <v>3456</v>
      </c>
      <c r="N30" s="44">
        <v>3</v>
      </c>
      <c r="O30" s="44">
        <v>9</v>
      </c>
      <c r="P30" s="47">
        <v>4.2750000000000004</v>
      </c>
      <c r="Q30" s="48">
        <v>19.829999999999998</v>
      </c>
      <c r="R30" s="54" t="str">
        <f>_xlfn.XLOOKUP(Table4[[#This Row],[ref_id]],$AB$5:$AB$182,$AC$5:$AC$182)</f>
        <v>C</v>
      </c>
      <c r="W30" s="21" t="s">
        <v>234</v>
      </c>
      <c r="X30" s="14" t="s">
        <v>235</v>
      </c>
      <c r="AB30" s="56" t="s">
        <v>30</v>
      </c>
      <c r="AC30" s="56" t="s">
        <v>183</v>
      </c>
    </row>
    <row r="31" spans="1:29" ht="15.5" customHeight="1" x14ac:dyDescent="0.35">
      <c r="A31" s="42" t="s">
        <v>236</v>
      </c>
      <c r="B31" s="42" t="s">
        <v>237</v>
      </c>
      <c r="C31" s="42">
        <v>57</v>
      </c>
      <c r="D31" s="43">
        <v>0</v>
      </c>
      <c r="E31" s="40" t="s">
        <v>221</v>
      </c>
      <c r="F31" s="42" t="s">
        <v>160</v>
      </c>
      <c r="G31" s="44" t="s">
        <v>161</v>
      </c>
      <c r="H31" s="44" t="s">
        <v>162</v>
      </c>
      <c r="I31" s="44" t="s">
        <v>162</v>
      </c>
      <c r="J31" s="44" t="s">
        <v>162</v>
      </c>
      <c r="K31" s="44" t="s">
        <v>160</v>
      </c>
      <c r="L31" s="44">
        <v>2304</v>
      </c>
      <c r="M31" s="44">
        <v>3456</v>
      </c>
      <c r="N31" s="44">
        <v>3</v>
      </c>
      <c r="O31" s="44">
        <v>9</v>
      </c>
      <c r="P31" s="47">
        <v>4.2750000000000004</v>
      </c>
      <c r="Q31" s="48">
        <v>19.55</v>
      </c>
      <c r="R31" s="54" t="str">
        <f>_xlfn.XLOOKUP(Table4[[#This Row],[ref_id]],$AB$5:$AB$182,$AC$5:$AC$182)</f>
        <v>C</v>
      </c>
      <c r="W31" s="21" t="s">
        <v>238</v>
      </c>
      <c r="X31" s="14" t="s">
        <v>239</v>
      </c>
      <c r="AB31" s="55" t="s">
        <v>240</v>
      </c>
      <c r="AC31" s="55" t="s">
        <v>183</v>
      </c>
    </row>
    <row r="32" spans="1:29" ht="15.5" customHeight="1" x14ac:dyDescent="0.35">
      <c r="A32" s="42" t="s">
        <v>26</v>
      </c>
      <c r="B32" s="42" t="s">
        <v>241</v>
      </c>
      <c r="C32" s="42">
        <v>32</v>
      </c>
      <c r="D32" s="43">
        <v>0</v>
      </c>
      <c r="E32" s="40" t="s">
        <v>196</v>
      </c>
      <c r="F32" s="42" t="s">
        <v>160</v>
      </c>
      <c r="G32" s="44" t="s">
        <v>160</v>
      </c>
      <c r="H32" s="44">
        <v>2304</v>
      </c>
      <c r="I32" s="44">
        <v>3</v>
      </c>
      <c r="J32" s="44">
        <v>5</v>
      </c>
      <c r="K32" s="44" t="s">
        <v>161</v>
      </c>
      <c r="L32" s="44" t="s">
        <v>162</v>
      </c>
      <c r="M32" s="44" t="s">
        <v>162</v>
      </c>
      <c r="N32" s="44" t="s">
        <v>162</v>
      </c>
      <c r="O32" s="44" t="s">
        <v>162</v>
      </c>
      <c r="P32" s="47">
        <v>3.2</v>
      </c>
      <c r="Q32" s="48">
        <v>21.18</v>
      </c>
      <c r="R32" s="54" t="str">
        <f>_xlfn.XLOOKUP(Table4[[#This Row],[ref_id]],$AB$5:$AB$182,$AC$5:$AC$182)</f>
        <v>C</v>
      </c>
      <c r="W32" s="21" t="s">
        <v>242</v>
      </c>
      <c r="X32" s="14" t="s">
        <v>243</v>
      </c>
      <c r="AB32" s="56" t="s">
        <v>41</v>
      </c>
      <c r="AC32" s="56" t="s">
        <v>183</v>
      </c>
    </row>
    <row r="33" spans="1:29" ht="15.5" customHeight="1" x14ac:dyDescent="0.35">
      <c r="A33" s="42" t="s">
        <v>25</v>
      </c>
      <c r="B33" s="42" t="s">
        <v>244</v>
      </c>
      <c r="C33" s="42">
        <v>32</v>
      </c>
      <c r="D33" s="43">
        <v>0</v>
      </c>
      <c r="E33" s="40" t="s">
        <v>221</v>
      </c>
      <c r="F33" s="42" t="s">
        <v>160</v>
      </c>
      <c r="G33" s="44" t="s">
        <v>160</v>
      </c>
      <c r="H33" s="44">
        <v>2304</v>
      </c>
      <c r="I33" s="44">
        <v>3</v>
      </c>
      <c r="J33" s="44">
        <v>9</v>
      </c>
      <c r="K33" s="44" t="s">
        <v>161</v>
      </c>
      <c r="L33" s="44" t="s">
        <v>162</v>
      </c>
      <c r="M33" s="44" t="s">
        <v>162</v>
      </c>
      <c r="N33" s="44" t="s">
        <v>162</v>
      </c>
      <c r="O33" s="44" t="s">
        <v>162</v>
      </c>
      <c r="P33" s="47">
        <v>3.52</v>
      </c>
      <c r="Q33" s="48">
        <v>23.11</v>
      </c>
      <c r="R33" s="54" t="str">
        <f>_xlfn.XLOOKUP(Table4[[#This Row],[ref_id]],$AB$5:$AB$182,$AC$5:$AC$182)</f>
        <v>C</v>
      </c>
      <c r="W33" s="21" t="s">
        <v>245</v>
      </c>
      <c r="X33" s="14" t="s">
        <v>246</v>
      </c>
      <c r="AB33" s="55" t="s">
        <v>22</v>
      </c>
      <c r="AC33" s="55" t="s">
        <v>183</v>
      </c>
    </row>
    <row r="34" spans="1:29" ht="15.5" customHeight="1" x14ac:dyDescent="0.35">
      <c r="A34" s="42" t="s">
        <v>27</v>
      </c>
      <c r="B34" s="42" t="s">
        <v>247</v>
      </c>
      <c r="C34" s="42">
        <v>90</v>
      </c>
      <c r="D34" s="43">
        <v>0</v>
      </c>
      <c r="E34" s="40" t="s">
        <v>221</v>
      </c>
      <c r="F34" s="42" t="s">
        <v>160</v>
      </c>
      <c r="G34" s="44" t="s">
        <v>161</v>
      </c>
      <c r="H34" s="44" t="s">
        <v>162</v>
      </c>
      <c r="I34" s="44" t="s">
        <v>162</v>
      </c>
      <c r="J34" s="44" t="s">
        <v>162</v>
      </c>
      <c r="K34" s="44" t="s">
        <v>160</v>
      </c>
      <c r="L34" s="44">
        <v>3456</v>
      </c>
      <c r="M34" s="44">
        <v>3456</v>
      </c>
      <c r="N34" s="44">
        <v>4</v>
      </c>
      <c r="O34" s="44">
        <v>9</v>
      </c>
      <c r="P34" s="47">
        <v>2.7</v>
      </c>
      <c r="Q34" s="48">
        <v>18.52</v>
      </c>
      <c r="R34" s="54" t="str">
        <f>_xlfn.XLOOKUP(Table4[[#This Row],[ref_id]],$AB$5:$AB$182,$AC$5:$AC$182)</f>
        <v>C</v>
      </c>
      <c r="W34" s="21" t="s">
        <v>248</v>
      </c>
      <c r="X34" s="14" t="s">
        <v>249</v>
      </c>
      <c r="AB34" s="56" t="s">
        <v>49</v>
      </c>
      <c r="AC34" s="56" t="s">
        <v>183</v>
      </c>
    </row>
    <row r="35" spans="1:29" ht="15.5" customHeight="1" x14ac:dyDescent="0.35">
      <c r="A35" s="42" t="s">
        <v>28</v>
      </c>
      <c r="B35" s="42" t="s">
        <v>250</v>
      </c>
      <c r="C35" s="42">
        <v>57</v>
      </c>
      <c r="D35" s="43">
        <v>0</v>
      </c>
      <c r="E35" s="40" t="s">
        <v>221</v>
      </c>
      <c r="F35" s="42" t="s">
        <v>160</v>
      </c>
      <c r="G35" s="44" t="s">
        <v>161</v>
      </c>
      <c r="H35" s="44" t="s">
        <v>162</v>
      </c>
      <c r="I35" s="44" t="s">
        <v>162</v>
      </c>
      <c r="J35" s="44" t="s">
        <v>162</v>
      </c>
      <c r="K35" s="44" t="s">
        <v>160</v>
      </c>
      <c r="L35" s="44">
        <v>2304</v>
      </c>
      <c r="M35" s="44">
        <v>2304</v>
      </c>
      <c r="N35" s="44">
        <v>4</v>
      </c>
      <c r="O35" s="44">
        <v>9</v>
      </c>
      <c r="P35" s="47">
        <v>4.2750000000000004</v>
      </c>
      <c r="Q35" s="48">
        <v>18.36</v>
      </c>
      <c r="R35" s="54" t="str">
        <f>_xlfn.XLOOKUP(Table4[[#This Row],[ref_id]],$AB$5:$AB$182,$AC$5:$AC$182)</f>
        <v>C</v>
      </c>
      <c r="W35" s="21" t="s">
        <v>251</v>
      </c>
      <c r="X35" s="14" t="s">
        <v>252</v>
      </c>
      <c r="AB35" s="55" t="s">
        <v>178</v>
      </c>
      <c r="AC35" s="55" t="s">
        <v>183</v>
      </c>
    </row>
    <row r="36" spans="1:29" ht="15.5" customHeight="1" x14ac:dyDescent="0.35">
      <c r="A36" s="42" t="s">
        <v>24</v>
      </c>
      <c r="B36" s="42" t="s">
        <v>253</v>
      </c>
      <c r="C36" s="42">
        <v>57</v>
      </c>
      <c r="D36" s="43">
        <v>0</v>
      </c>
      <c r="E36" s="40" t="s">
        <v>221</v>
      </c>
      <c r="F36" s="42" t="s">
        <v>160</v>
      </c>
      <c r="G36" s="44" t="s">
        <v>161</v>
      </c>
      <c r="H36" s="44" t="s">
        <v>162</v>
      </c>
      <c r="I36" s="44" t="s">
        <v>162</v>
      </c>
      <c r="J36" s="44" t="s">
        <v>162</v>
      </c>
      <c r="K36" s="44" t="s">
        <v>160</v>
      </c>
      <c r="L36" s="44">
        <v>2304</v>
      </c>
      <c r="M36" s="44">
        <v>2304</v>
      </c>
      <c r="N36" s="44">
        <v>3</v>
      </c>
      <c r="O36" s="44">
        <v>7</v>
      </c>
      <c r="P36" s="47">
        <v>4.2750000000000004</v>
      </c>
      <c r="Q36" s="48">
        <v>21.47</v>
      </c>
      <c r="R36" s="54" t="str">
        <f>_xlfn.XLOOKUP(Table4[[#This Row],[ref_id]],$AB$5:$AB$182,$AC$5:$AC$182)</f>
        <v>B</v>
      </c>
      <c r="W36" s="21" t="s">
        <v>254</v>
      </c>
      <c r="X36" s="14" t="s">
        <v>255</v>
      </c>
      <c r="AB36" s="56" t="s">
        <v>256</v>
      </c>
      <c r="AC36" s="56" t="s">
        <v>183</v>
      </c>
    </row>
    <row r="37" spans="1:29" ht="15.5" customHeight="1" x14ac:dyDescent="0.35">
      <c r="A37" s="42" t="s">
        <v>52</v>
      </c>
      <c r="B37" s="42" t="s">
        <v>257</v>
      </c>
      <c r="C37" s="42">
        <v>4</v>
      </c>
      <c r="D37" s="43">
        <v>1</v>
      </c>
      <c r="E37" s="40" t="s">
        <v>169</v>
      </c>
      <c r="F37" s="42" t="s">
        <v>160</v>
      </c>
      <c r="G37" s="44" t="s">
        <v>160</v>
      </c>
      <c r="H37" s="44">
        <v>300</v>
      </c>
      <c r="I37" s="44">
        <v>3</v>
      </c>
      <c r="J37" s="44">
        <v>4</v>
      </c>
      <c r="K37" s="44" t="s">
        <v>161</v>
      </c>
      <c r="L37" s="44" t="s">
        <v>162</v>
      </c>
      <c r="M37" s="44" t="s">
        <v>162</v>
      </c>
      <c r="N37" s="44" t="s">
        <v>162</v>
      </c>
      <c r="O37" s="44" t="s">
        <v>162</v>
      </c>
      <c r="P37" s="47">
        <v>3.2</v>
      </c>
      <c r="Q37" s="48">
        <v>19.37</v>
      </c>
      <c r="R37" s="54" t="str">
        <f>_xlfn.XLOOKUP(Table4[[#This Row],[ref_id]],$AB$5:$AB$182,$AC$5:$AC$182)</f>
        <v>C</v>
      </c>
      <c r="W37" s="21" t="s">
        <v>258</v>
      </c>
      <c r="X37" s="14" t="s">
        <v>221</v>
      </c>
      <c r="AB37" s="55" t="s">
        <v>50</v>
      </c>
      <c r="AC37" s="55" t="s">
        <v>183</v>
      </c>
    </row>
    <row r="38" spans="1:29" ht="15.5" customHeight="1" x14ac:dyDescent="0.35">
      <c r="A38" s="42" t="s">
        <v>59</v>
      </c>
      <c r="B38" s="42" t="s">
        <v>259</v>
      </c>
      <c r="C38" s="42">
        <v>4</v>
      </c>
      <c r="D38" s="43">
        <v>1</v>
      </c>
      <c r="E38" s="40" t="s">
        <v>260</v>
      </c>
      <c r="F38" s="42" t="s">
        <v>160</v>
      </c>
      <c r="G38" s="44" t="s">
        <v>160</v>
      </c>
      <c r="H38" s="44">
        <v>245</v>
      </c>
      <c r="I38" s="44">
        <v>5</v>
      </c>
      <c r="J38" s="44">
        <v>5</v>
      </c>
      <c r="K38" s="44" t="s">
        <v>161</v>
      </c>
      <c r="L38" s="44" t="s">
        <v>162</v>
      </c>
      <c r="M38" s="44" t="s">
        <v>162</v>
      </c>
      <c r="N38" s="44" t="s">
        <v>162</v>
      </c>
      <c r="O38" s="44" t="s">
        <v>162</v>
      </c>
      <c r="P38" s="47">
        <v>2.8</v>
      </c>
      <c r="Q38" s="48">
        <v>23</v>
      </c>
      <c r="R38" s="54" t="str">
        <f>_xlfn.XLOOKUP(Table4[[#This Row],[ref_id]],$AB$5:$AB$182,$AC$5:$AC$182)</f>
        <v>C</v>
      </c>
      <c r="W38" s="21" t="s">
        <v>261</v>
      </c>
      <c r="X38" s="14" t="s">
        <v>196</v>
      </c>
      <c r="AB38" s="56" t="s">
        <v>24</v>
      </c>
      <c r="AC38" s="56" t="s">
        <v>183</v>
      </c>
    </row>
    <row r="39" spans="1:29" ht="15.5" customHeight="1" x14ac:dyDescent="0.35">
      <c r="A39" s="42" t="s">
        <v>262</v>
      </c>
      <c r="B39" s="42" t="s">
        <v>263</v>
      </c>
      <c r="C39" s="42">
        <v>30</v>
      </c>
      <c r="D39" s="43">
        <v>1</v>
      </c>
      <c r="E39" s="40" t="s">
        <v>252</v>
      </c>
      <c r="F39" s="42" t="s">
        <v>160</v>
      </c>
      <c r="G39" s="44" t="s">
        <v>160</v>
      </c>
      <c r="H39" s="44">
        <v>300</v>
      </c>
      <c r="I39" s="44">
        <v>6</v>
      </c>
      <c r="J39" s="44">
        <v>9</v>
      </c>
      <c r="K39" s="44" t="s">
        <v>161</v>
      </c>
      <c r="L39" s="44" t="s">
        <v>162</v>
      </c>
      <c r="M39" s="44" t="s">
        <v>162</v>
      </c>
      <c r="N39" s="44" t="s">
        <v>162</v>
      </c>
      <c r="O39" s="44" t="s">
        <v>162</v>
      </c>
      <c r="P39" s="47">
        <v>2.85</v>
      </c>
      <c r="Q39" s="48">
        <v>19.59</v>
      </c>
      <c r="R39" s="54" t="str">
        <f>_xlfn.XLOOKUP(Table4[[#This Row],[ref_id]],$AB$5:$AB$182,$AC$5:$AC$182)</f>
        <v>C</v>
      </c>
      <c r="W39" s="21" t="s">
        <v>264</v>
      </c>
      <c r="X39" s="14" t="s">
        <v>169</v>
      </c>
      <c r="AB39" s="55" t="s">
        <v>72</v>
      </c>
      <c r="AC39" s="55" t="s">
        <v>183</v>
      </c>
    </row>
    <row r="40" spans="1:29" ht="15.5" customHeight="1" x14ac:dyDescent="0.35">
      <c r="A40" s="42" t="s">
        <v>265</v>
      </c>
      <c r="B40" s="42" t="s">
        <v>266</v>
      </c>
      <c r="C40" s="42">
        <v>4</v>
      </c>
      <c r="D40" s="43">
        <v>0</v>
      </c>
      <c r="E40" s="40" t="s">
        <v>206</v>
      </c>
      <c r="F40" s="42" t="s">
        <v>160</v>
      </c>
      <c r="G40" s="44" t="s">
        <v>160</v>
      </c>
      <c r="H40" s="44">
        <v>300</v>
      </c>
      <c r="I40" s="44">
        <v>4</v>
      </c>
      <c r="J40" s="44">
        <v>6</v>
      </c>
      <c r="K40" s="44" t="s">
        <v>161</v>
      </c>
      <c r="L40" s="44" t="s">
        <v>162</v>
      </c>
      <c r="M40" s="44" t="s">
        <v>162</v>
      </c>
      <c r="N40" s="44" t="s">
        <v>162</v>
      </c>
      <c r="O40" s="44" t="s">
        <v>162</v>
      </c>
      <c r="P40" s="47">
        <v>2</v>
      </c>
      <c r="Q40" s="48">
        <v>13.49</v>
      </c>
      <c r="R40" s="54" t="str">
        <f>_xlfn.XLOOKUP(Table4[[#This Row],[ref_id]],$AB$5:$AB$182,$AC$5:$AC$182)</f>
        <v>C</v>
      </c>
      <c r="W40" s="21" t="s">
        <v>267</v>
      </c>
      <c r="X40" s="14" t="s">
        <v>268</v>
      </c>
      <c r="AB40" s="56" t="s">
        <v>63</v>
      </c>
      <c r="AC40" s="56" t="s">
        <v>183</v>
      </c>
    </row>
    <row r="41" spans="1:29" ht="15.5" customHeight="1" x14ac:dyDescent="0.35">
      <c r="A41" s="42" t="s">
        <v>84</v>
      </c>
      <c r="B41" s="42" t="s">
        <v>269</v>
      </c>
      <c r="C41" s="42">
        <v>1</v>
      </c>
      <c r="D41" s="43">
        <v>0</v>
      </c>
      <c r="E41" s="40" t="s">
        <v>206</v>
      </c>
      <c r="F41" s="42" t="s">
        <v>160</v>
      </c>
      <c r="G41" s="44" t="s">
        <v>160</v>
      </c>
      <c r="H41" s="44">
        <v>300</v>
      </c>
      <c r="I41" s="44">
        <v>4</v>
      </c>
      <c r="J41" s="44">
        <v>5</v>
      </c>
      <c r="K41" s="44" t="s">
        <v>161</v>
      </c>
      <c r="L41" s="44" t="s">
        <v>162</v>
      </c>
      <c r="M41" s="44" t="s">
        <v>162</v>
      </c>
      <c r="N41" s="44" t="s">
        <v>162</v>
      </c>
      <c r="O41" s="44" t="s">
        <v>162</v>
      </c>
      <c r="P41" s="47">
        <v>1.3</v>
      </c>
      <c r="Q41" s="48">
        <v>8.39</v>
      </c>
      <c r="R41" s="54" t="str">
        <f>_xlfn.XLOOKUP(Table4[[#This Row],[ref_id]],$AB$5:$AB$182,$AC$5:$AC$182)</f>
        <v>B</v>
      </c>
      <c r="W41" s="21" t="s">
        <v>270</v>
      </c>
      <c r="X41" s="14" t="s">
        <v>271</v>
      </c>
      <c r="AB41" s="55" t="s">
        <v>272</v>
      </c>
      <c r="AC41" s="55" t="s">
        <v>183</v>
      </c>
    </row>
    <row r="42" spans="1:29" ht="15.5" customHeight="1" x14ac:dyDescent="0.35">
      <c r="A42" s="42" t="s">
        <v>73</v>
      </c>
      <c r="B42" s="42" t="s">
        <v>273</v>
      </c>
      <c r="C42" s="42">
        <v>4</v>
      </c>
      <c r="D42" s="43">
        <v>0</v>
      </c>
      <c r="E42" s="40" t="s">
        <v>206</v>
      </c>
      <c r="F42" s="42" t="s">
        <v>160</v>
      </c>
      <c r="G42" s="44" t="s">
        <v>160</v>
      </c>
      <c r="H42" s="44">
        <v>300</v>
      </c>
      <c r="I42" s="44">
        <v>4</v>
      </c>
      <c r="J42" s="44">
        <v>6</v>
      </c>
      <c r="K42" s="44" t="s">
        <v>161</v>
      </c>
      <c r="L42" s="44" t="s">
        <v>162</v>
      </c>
      <c r="M42" s="44" t="s">
        <v>162</v>
      </c>
      <c r="N42" s="44" t="s">
        <v>162</v>
      </c>
      <c r="O42" s="44" t="s">
        <v>162</v>
      </c>
      <c r="P42" s="47">
        <v>2</v>
      </c>
      <c r="Q42" s="48">
        <v>13.09</v>
      </c>
      <c r="R42" s="54" t="str">
        <f>_xlfn.XLOOKUP(Table4[[#This Row],[ref_id]],$AB$5:$AB$182,$AC$5:$AC$182)</f>
        <v>B</v>
      </c>
      <c r="W42" s="21" t="s">
        <v>274</v>
      </c>
      <c r="X42" s="14" t="s">
        <v>192</v>
      </c>
      <c r="AB42" s="56" t="s">
        <v>64</v>
      </c>
      <c r="AC42" s="56" t="s">
        <v>183</v>
      </c>
    </row>
    <row r="43" spans="1:29" ht="15.5" customHeight="1" x14ac:dyDescent="0.35">
      <c r="A43" s="42" t="s">
        <v>256</v>
      </c>
      <c r="B43" s="42" t="s">
        <v>275</v>
      </c>
      <c r="C43" s="42">
        <v>2</v>
      </c>
      <c r="D43" s="43">
        <v>0</v>
      </c>
      <c r="E43" s="40" t="s">
        <v>276</v>
      </c>
      <c r="F43" s="42" t="s">
        <v>160</v>
      </c>
      <c r="G43" s="44" t="s">
        <v>160</v>
      </c>
      <c r="H43" s="44">
        <v>220</v>
      </c>
      <c r="I43" s="44">
        <v>4</v>
      </c>
      <c r="J43" s="44">
        <v>2</v>
      </c>
      <c r="K43" s="44" t="s">
        <v>161</v>
      </c>
      <c r="L43" s="44" t="s">
        <v>162</v>
      </c>
      <c r="M43" s="44" t="s">
        <v>162</v>
      </c>
      <c r="N43" s="44" t="s">
        <v>162</v>
      </c>
      <c r="O43" s="44" t="s">
        <v>162</v>
      </c>
      <c r="P43" s="47">
        <v>3</v>
      </c>
      <c r="Q43" s="48">
        <v>21</v>
      </c>
      <c r="R43" s="54" t="str">
        <f>_xlfn.XLOOKUP(Table4[[#This Row],[ref_id]],$AB$5:$AB$182,$AC$5:$AC$182)</f>
        <v>B</v>
      </c>
      <c r="W43" s="21" t="s">
        <v>277</v>
      </c>
      <c r="X43" s="14" t="s">
        <v>159</v>
      </c>
      <c r="AB43" s="55" t="s">
        <v>278</v>
      </c>
      <c r="AC43" s="55" t="s">
        <v>183</v>
      </c>
    </row>
    <row r="44" spans="1:29" ht="15.5" customHeight="1" x14ac:dyDescent="0.35">
      <c r="A44" s="42" t="s">
        <v>60</v>
      </c>
      <c r="B44" s="42" t="s">
        <v>279</v>
      </c>
      <c r="C44" s="42">
        <v>4</v>
      </c>
      <c r="D44" s="43">
        <v>1</v>
      </c>
      <c r="E44" s="40" t="s">
        <v>280</v>
      </c>
      <c r="F44" s="42" t="s">
        <v>160</v>
      </c>
      <c r="G44" s="44" t="s">
        <v>160</v>
      </c>
      <c r="H44" s="44">
        <v>260</v>
      </c>
      <c r="I44" s="44">
        <v>12</v>
      </c>
      <c r="J44" s="44">
        <v>7</v>
      </c>
      <c r="K44" s="44" t="s">
        <v>161</v>
      </c>
      <c r="L44" s="44" t="s">
        <v>162</v>
      </c>
      <c r="M44" s="44" t="s">
        <v>162</v>
      </c>
      <c r="N44" s="44" t="s">
        <v>162</v>
      </c>
      <c r="O44" s="44" t="s">
        <v>162</v>
      </c>
      <c r="P44" s="47">
        <v>3.2</v>
      </c>
      <c r="Q44" s="48">
        <v>22.6</v>
      </c>
      <c r="R44" s="54" t="str">
        <f>_xlfn.XLOOKUP(Table4[[#This Row],[ref_id]],$AB$5:$AB$182,$AC$5:$AC$182)</f>
        <v>A</v>
      </c>
      <c r="W44" s="21" t="s">
        <v>281</v>
      </c>
      <c r="X44" s="14" t="s">
        <v>282</v>
      </c>
      <c r="AB44" s="56" t="s">
        <v>283</v>
      </c>
      <c r="AC44" s="56" t="s">
        <v>183</v>
      </c>
    </row>
    <row r="45" spans="1:29" ht="15.5" customHeight="1" x14ac:dyDescent="0.35">
      <c r="A45" s="42" t="s">
        <v>65</v>
      </c>
      <c r="B45" s="42" t="s">
        <v>284</v>
      </c>
      <c r="C45" s="42">
        <v>4</v>
      </c>
      <c r="D45" s="43">
        <v>1</v>
      </c>
      <c r="E45" s="40" t="s">
        <v>183</v>
      </c>
      <c r="F45" s="42" t="s">
        <v>160</v>
      </c>
      <c r="G45" s="44" t="s">
        <v>160</v>
      </c>
      <c r="H45" s="44">
        <v>240</v>
      </c>
      <c r="I45" s="44">
        <v>6</v>
      </c>
      <c r="J45" s="44">
        <v>4</v>
      </c>
      <c r="K45" s="44" t="s">
        <v>161</v>
      </c>
      <c r="L45" s="44" t="s">
        <v>162</v>
      </c>
      <c r="M45" s="44" t="s">
        <v>162</v>
      </c>
      <c r="N45" s="44" t="s">
        <v>162</v>
      </c>
      <c r="O45" s="44" t="s">
        <v>162</v>
      </c>
      <c r="P45" s="47">
        <v>6.4</v>
      </c>
      <c r="Q45" s="48">
        <v>40.479999999999997</v>
      </c>
      <c r="R45" s="54" t="str">
        <f>_xlfn.XLOOKUP(Table4[[#This Row],[ref_id]],$AB$5:$AB$182,$AC$5:$AC$182)</f>
        <v>C</v>
      </c>
      <c r="W45" s="21" t="s">
        <v>285</v>
      </c>
      <c r="X45" s="14" t="s">
        <v>260</v>
      </c>
      <c r="AB45" s="55" t="s">
        <v>286</v>
      </c>
      <c r="AC45" s="55" t="s">
        <v>183</v>
      </c>
    </row>
    <row r="46" spans="1:29" ht="15.5" customHeight="1" x14ac:dyDescent="0.35">
      <c r="A46" s="42" t="s">
        <v>287</v>
      </c>
      <c r="B46" s="42" t="s">
        <v>288</v>
      </c>
      <c r="C46" s="42">
        <v>2</v>
      </c>
      <c r="D46" s="43">
        <v>1</v>
      </c>
      <c r="E46" s="40" t="s">
        <v>289</v>
      </c>
      <c r="F46" s="42" t="s">
        <v>160</v>
      </c>
      <c r="G46" s="44" t="s">
        <v>160</v>
      </c>
      <c r="H46" s="44">
        <v>220</v>
      </c>
      <c r="I46" s="44">
        <v>2</v>
      </c>
      <c r="J46" s="44">
        <v>8</v>
      </c>
      <c r="K46" s="44" t="s">
        <v>161</v>
      </c>
      <c r="L46" s="44" t="s">
        <v>162</v>
      </c>
      <c r="M46" s="44" t="s">
        <v>162</v>
      </c>
      <c r="N46" s="44" t="s">
        <v>162</v>
      </c>
      <c r="O46" s="44" t="s">
        <v>162</v>
      </c>
      <c r="P46" s="47">
        <v>3</v>
      </c>
      <c r="Q46" s="48">
        <v>21.88</v>
      </c>
      <c r="R46" s="54" t="str">
        <f>_xlfn.XLOOKUP(Table4[[#This Row],[ref_id]],$AB$5:$AB$182,$AC$5:$AC$182)</f>
        <v>C</v>
      </c>
      <c r="W46" s="21" t="s">
        <v>290</v>
      </c>
      <c r="X46" s="14" t="s">
        <v>291</v>
      </c>
      <c r="AB46" s="56" t="s">
        <v>43</v>
      </c>
      <c r="AC46" s="56" t="s">
        <v>183</v>
      </c>
    </row>
    <row r="47" spans="1:29" ht="15.5" customHeight="1" x14ac:dyDescent="0.35">
      <c r="A47" s="42" t="s">
        <v>292</v>
      </c>
      <c r="B47" s="42" t="s">
        <v>293</v>
      </c>
      <c r="C47" s="42">
        <v>4</v>
      </c>
      <c r="D47" s="43">
        <v>1</v>
      </c>
      <c r="E47" s="40" t="s">
        <v>289</v>
      </c>
      <c r="F47" s="42" t="s">
        <v>160</v>
      </c>
      <c r="G47" s="44" t="s">
        <v>160</v>
      </c>
      <c r="H47" s="44">
        <v>220</v>
      </c>
      <c r="I47" s="44">
        <v>3</v>
      </c>
      <c r="J47" s="44">
        <v>8</v>
      </c>
      <c r="K47" s="44" t="s">
        <v>161</v>
      </c>
      <c r="L47" s="44" t="s">
        <v>162</v>
      </c>
      <c r="M47" s="44" t="s">
        <v>162</v>
      </c>
      <c r="N47" s="44" t="s">
        <v>162</v>
      </c>
      <c r="O47" s="44" t="s">
        <v>162</v>
      </c>
      <c r="P47" s="47">
        <v>6</v>
      </c>
      <c r="Q47" s="48">
        <v>40.64</v>
      </c>
      <c r="R47" s="54" t="str">
        <f>_xlfn.XLOOKUP(Table4[[#This Row],[ref_id]],$AB$5:$AB$182,$AC$5:$AC$182)</f>
        <v>C</v>
      </c>
      <c r="W47" s="21" t="s">
        <v>294</v>
      </c>
      <c r="X47" s="14" t="s">
        <v>295</v>
      </c>
      <c r="AB47" s="55" t="s">
        <v>73</v>
      </c>
      <c r="AC47" s="55" t="s">
        <v>183</v>
      </c>
    </row>
    <row r="48" spans="1:29" ht="15.5" customHeight="1" x14ac:dyDescent="0.35">
      <c r="A48" s="42" t="s">
        <v>296</v>
      </c>
      <c r="B48" s="42" t="s">
        <v>297</v>
      </c>
      <c r="C48" s="42">
        <v>1</v>
      </c>
      <c r="D48" s="43">
        <v>1</v>
      </c>
      <c r="E48" s="40" t="s">
        <v>255</v>
      </c>
      <c r="F48" s="42" t="s">
        <v>160</v>
      </c>
      <c r="G48" s="44" t="s">
        <v>161</v>
      </c>
      <c r="H48" s="44" t="s">
        <v>162</v>
      </c>
      <c r="I48" s="44" t="s">
        <v>162</v>
      </c>
      <c r="J48" s="44" t="s">
        <v>162</v>
      </c>
      <c r="K48" s="44" t="s">
        <v>160</v>
      </c>
      <c r="L48" s="44">
        <v>60</v>
      </c>
      <c r="M48" s="44">
        <v>60</v>
      </c>
      <c r="N48" s="44">
        <v>2</v>
      </c>
      <c r="O48" s="44">
        <v>5</v>
      </c>
      <c r="P48" s="47">
        <v>1.1000000000000001</v>
      </c>
      <c r="Q48" s="48">
        <v>7.28</v>
      </c>
      <c r="R48" s="54" t="str">
        <f>_xlfn.XLOOKUP(Table4[[#This Row],[ref_id]],$AB$5:$AB$182,$AC$5:$AC$182)</f>
        <v>C</v>
      </c>
      <c r="W48" s="21" t="s">
        <v>298</v>
      </c>
      <c r="X48" s="14" t="s">
        <v>299</v>
      </c>
      <c r="AB48" s="56" t="s">
        <v>54</v>
      </c>
      <c r="AC48" s="56" t="s">
        <v>183</v>
      </c>
    </row>
    <row r="49" spans="1:29" ht="15.5" customHeight="1" x14ac:dyDescent="0.35">
      <c r="A49" s="42" t="s">
        <v>300</v>
      </c>
      <c r="B49" s="42" t="s">
        <v>301</v>
      </c>
      <c r="C49" s="42">
        <v>1</v>
      </c>
      <c r="D49" s="43">
        <v>1</v>
      </c>
      <c r="E49" s="40" t="s">
        <v>255</v>
      </c>
      <c r="F49" s="42" t="s">
        <v>160</v>
      </c>
      <c r="G49" s="44" t="s">
        <v>161</v>
      </c>
      <c r="H49" s="44" t="s">
        <v>162</v>
      </c>
      <c r="I49" s="44" t="s">
        <v>162</v>
      </c>
      <c r="J49" s="44" t="s">
        <v>162</v>
      </c>
      <c r="K49" s="44" t="s">
        <v>160</v>
      </c>
      <c r="L49" s="44">
        <v>60</v>
      </c>
      <c r="M49" s="44">
        <v>60</v>
      </c>
      <c r="N49" s="44">
        <v>2</v>
      </c>
      <c r="O49" s="44">
        <v>5</v>
      </c>
      <c r="P49" s="47">
        <v>1.1000000000000001</v>
      </c>
      <c r="Q49" s="48">
        <v>6.71</v>
      </c>
      <c r="R49" s="54" t="str">
        <f>_xlfn.XLOOKUP(Table4[[#This Row],[ref_id]],$AB$5:$AB$182,$AC$5:$AC$182)</f>
        <v>B</v>
      </c>
      <c r="W49" s="21" t="s">
        <v>302</v>
      </c>
      <c r="X49" s="14" t="s">
        <v>280</v>
      </c>
      <c r="AB49" s="55" t="s">
        <v>48</v>
      </c>
      <c r="AC49" s="55" t="s">
        <v>183</v>
      </c>
    </row>
    <row r="50" spans="1:29" ht="15.5" customHeight="1" x14ac:dyDescent="0.35">
      <c r="A50" s="42" t="s">
        <v>303</v>
      </c>
      <c r="B50" s="42" t="s">
        <v>304</v>
      </c>
      <c r="C50" s="42">
        <v>2</v>
      </c>
      <c r="D50" s="43">
        <v>1</v>
      </c>
      <c r="E50" s="40" t="s">
        <v>169</v>
      </c>
      <c r="F50" s="42" t="s">
        <v>160</v>
      </c>
      <c r="G50" s="44" t="s">
        <v>160</v>
      </c>
      <c r="H50" s="44">
        <v>180</v>
      </c>
      <c r="I50" s="44">
        <v>5</v>
      </c>
      <c r="J50" s="44">
        <v>3</v>
      </c>
      <c r="K50" s="44" t="s">
        <v>161</v>
      </c>
      <c r="L50" s="44" t="s">
        <v>162</v>
      </c>
      <c r="M50" s="44" t="s">
        <v>162</v>
      </c>
      <c r="N50" s="44" t="s">
        <v>162</v>
      </c>
      <c r="O50" s="44" t="s">
        <v>162</v>
      </c>
      <c r="P50" s="47">
        <v>3.4</v>
      </c>
      <c r="Q50" s="48">
        <v>21.5</v>
      </c>
      <c r="R50" s="54" t="str">
        <f>_xlfn.XLOOKUP(Table4[[#This Row],[ref_id]],$AB$5:$AB$182,$AC$5:$AC$182)</f>
        <v>C</v>
      </c>
      <c r="W50" s="21" t="s">
        <v>305</v>
      </c>
      <c r="X50" s="14" t="s">
        <v>276</v>
      </c>
      <c r="AB50" s="56" t="s">
        <v>44</v>
      </c>
      <c r="AC50" s="56" t="s">
        <v>183</v>
      </c>
    </row>
    <row r="51" spans="1:29" ht="15.5" customHeight="1" x14ac:dyDescent="0.35">
      <c r="A51" s="42" t="s">
        <v>9</v>
      </c>
      <c r="B51" s="42" t="s">
        <v>306</v>
      </c>
      <c r="C51" s="42">
        <v>4</v>
      </c>
      <c r="D51" s="43">
        <v>1</v>
      </c>
      <c r="E51" s="40" t="s">
        <v>169</v>
      </c>
      <c r="F51" s="42" t="s">
        <v>160</v>
      </c>
      <c r="G51" s="44" t="s">
        <v>160</v>
      </c>
      <c r="H51" s="44">
        <v>180</v>
      </c>
      <c r="I51" s="44">
        <v>6</v>
      </c>
      <c r="J51" s="44">
        <v>3</v>
      </c>
      <c r="K51" s="44" t="s">
        <v>161</v>
      </c>
      <c r="L51" s="44" t="s">
        <v>162</v>
      </c>
      <c r="M51" s="44" t="s">
        <v>162</v>
      </c>
      <c r="N51" s="44" t="s">
        <v>162</v>
      </c>
      <c r="O51" s="44" t="s">
        <v>162</v>
      </c>
      <c r="P51" s="47">
        <v>6.8</v>
      </c>
      <c r="Q51" s="48">
        <v>43</v>
      </c>
      <c r="R51" s="54" t="str">
        <f>_xlfn.XLOOKUP(Table4[[#This Row],[ref_id]],$AB$5:$AB$182,$AC$5:$AC$182)</f>
        <v>C</v>
      </c>
      <c r="W51" s="21" t="s">
        <v>307</v>
      </c>
      <c r="X51" s="14" t="s">
        <v>308</v>
      </c>
      <c r="AB51" s="55" t="s">
        <v>309</v>
      </c>
      <c r="AC51" s="55" t="s">
        <v>183</v>
      </c>
    </row>
    <row r="52" spans="1:29" ht="15.5" customHeight="1" x14ac:dyDescent="0.35">
      <c r="A52" s="42" t="s">
        <v>310</v>
      </c>
      <c r="B52" s="42" t="s">
        <v>311</v>
      </c>
      <c r="C52" s="42">
        <v>2</v>
      </c>
      <c r="D52" s="43">
        <v>1</v>
      </c>
      <c r="E52" s="40" t="s">
        <v>210</v>
      </c>
      <c r="F52" s="42" t="s">
        <v>160</v>
      </c>
      <c r="G52" s="44" t="s">
        <v>160</v>
      </c>
      <c r="H52" s="44">
        <v>240</v>
      </c>
      <c r="I52" s="44">
        <v>7</v>
      </c>
      <c r="J52" s="44">
        <v>5</v>
      </c>
      <c r="K52" s="44" t="s">
        <v>161</v>
      </c>
      <c r="L52" s="44" t="s">
        <v>162</v>
      </c>
      <c r="M52" s="44" t="s">
        <v>162</v>
      </c>
      <c r="N52" s="44" t="s">
        <v>162</v>
      </c>
      <c r="O52" s="44" t="s">
        <v>162</v>
      </c>
      <c r="P52" s="47">
        <v>2.4</v>
      </c>
      <c r="Q52" s="48">
        <v>16.2</v>
      </c>
      <c r="R52" s="54" t="str">
        <f>_xlfn.XLOOKUP(Table4[[#This Row],[ref_id]],$AB$5:$AB$182,$AC$5:$AC$182)</f>
        <v>C</v>
      </c>
      <c r="W52" s="21" t="s">
        <v>312</v>
      </c>
      <c r="X52" s="14" t="s">
        <v>189</v>
      </c>
      <c r="AB52" s="56" t="s">
        <v>167</v>
      </c>
      <c r="AC52" s="56" t="s">
        <v>183</v>
      </c>
    </row>
    <row r="53" spans="1:29" ht="15.5" customHeight="1" x14ac:dyDescent="0.35">
      <c r="A53" s="42" t="s">
        <v>313</v>
      </c>
      <c r="B53" s="42" t="s">
        <v>314</v>
      </c>
      <c r="C53" s="42">
        <v>2</v>
      </c>
      <c r="D53" s="43">
        <v>1</v>
      </c>
      <c r="E53" s="40" t="s">
        <v>235</v>
      </c>
      <c r="F53" s="42" t="s">
        <v>160</v>
      </c>
      <c r="G53" s="44" t="s">
        <v>160</v>
      </c>
      <c r="H53" s="44">
        <v>250</v>
      </c>
      <c r="I53" s="44">
        <v>4</v>
      </c>
      <c r="J53" s="44">
        <v>6</v>
      </c>
      <c r="K53" s="44" t="s">
        <v>161</v>
      </c>
      <c r="L53" s="44" t="s">
        <v>162</v>
      </c>
      <c r="M53" s="44" t="s">
        <v>162</v>
      </c>
      <c r="N53" s="44" t="s">
        <v>162</v>
      </c>
      <c r="O53" s="44" t="s">
        <v>162</v>
      </c>
      <c r="P53" s="47">
        <v>2.4</v>
      </c>
      <c r="Q53" s="48">
        <v>17.260000000000002</v>
      </c>
      <c r="R53" s="54" t="str">
        <f>_xlfn.XLOOKUP(Table4[[#This Row],[ref_id]],$AB$5:$AB$182,$AC$5:$AC$182)</f>
        <v>C</v>
      </c>
      <c r="W53" s="21" t="s">
        <v>315</v>
      </c>
      <c r="X53" s="14" t="s">
        <v>289</v>
      </c>
      <c r="AB53" s="55" t="s">
        <v>69</v>
      </c>
      <c r="AC53" s="55" t="s">
        <v>183</v>
      </c>
    </row>
    <row r="54" spans="1:29" ht="15.5" customHeight="1" x14ac:dyDescent="0.35">
      <c r="A54" s="42" t="s">
        <v>316</v>
      </c>
      <c r="B54" s="42" t="s">
        <v>317</v>
      </c>
      <c r="C54" s="42">
        <v>3</v>
      </c>
      <c r="D54" s="43">
        <v>0</v>
      </c>
      <c r="E54" s="40" t="s">
        <v>235</v>
      </c>
      <c r="F54" s="42" t="s">
        <v>160</v>
      </c>
      <c r="G54" s="44" t="s">
        <v>160</v>
      </c>
      <c r="H54" s="44">
        <v>240</v>
      </c>
      <c r="I54" s="44">
        <v>4</v>
      </c>
      <c r="J54" s="44">
        <v>6</v>
      </c>
      <c r="K54" s="44" t="s">
        <v>161</v>
      </c>
      <c r="L54" s="44" t="s">
        <v>162</v>
      </c>
      <c r="M54" s="44" t="s">
        <v>162</v>
      </c>
      <c r="N54" s="44" t="s">
        <v>162</v>
      </c>
      <c r="O54" s="44" t="s">
        <v>162</v>
      </c>
      <c r="P54" s="47">
        <v>3.6</v>
      </c>
      <c r="Q54" s="48">
        <v>25.29</v>
      </c>
      <c r="R54" s="54" t="str">
        <f>_xlfn.XLOOKUP(Table4[[#This Row],[ref_id]],$AB$5:$AB$182,$AC$5:$AC$182)</f>
        <v>C</v>
      </c>
      <c r="W54" s="33" t="s">
        <v>318</v>
      </c>
      <c r="X54" s="14" t="s">
        <v>210</v>
      </c>
      <c r="AB54" s="56" t="s">
        <v>319</v>
      </c>
      <c r="AC54" s="56" t="s">
        <v>183</v>
      </c>
    </row>
    <row r="55" spans="1:29" ht="15.5" customHeight="1" x14ac:dyDescent="0.35">
      <c r="A55" s="42" t="s">
        <v>320</v>
      </c>
      <c r="B55" s="42" t="s">
        <v>321</v>
      </c>
      <c r="C55" s="42">
        <v>2</v>
      </c>
      <c r="D55" s="43">
        <v>1</v>
      </c>
      <c r="E55" s="40" t="s">
        <v>183</v>
      </c>
      <c r="F55" s="42" t="s">
        <v>160</v>
      </c>
      <c r="G55" s="44" t="s">
        <v>160</v>
      </c>
      <c r="H55" s="44">
        <v>240</v>
      </c>
      <c r="I55" s="44">
        <v>6</v>
      </c>
      <c r="J55" s="44">
        <v>6</v>
      </c>
      <c r="K55" s="44" t="s">
        <v>161</v>
      </c>
      <c r="L55" s="44" t="s">
        <v>162</v>
      </c>
      <c r="M55" s="44" t="s">
        <v>162</v>
      </c>
      <c r="N55" s="44" t="s">
        <v>162</v>
      </c>
      <c r="O55" s="44" t="s">
        <v>162</v>
      </c>
      <c r="P55" s="47">
        <v>2.4</v>
      </c>
      <c r="Q55" s="48">
        <v>19.45</v>
      </c>
      <c r="R55" s="54" t="str">
        <f>_xlfn.XLOOKUP(Table4[[#This Row],[ref_id]],$AB$5:$AB$182,$AC$5:$AC$182)</f>
        <v>B</v>
      </c>
      <c r="AB55" s="55" t="s">
        <v>320</v>
      </c>
      <c r="AC55" s="55" t="s">
        <v>183</v>
      </c>
    </row>
    <row r="56" spans="1:29" ht="15.5" customHeight="1" x14ac:dyDescent="0.35">
      <c r="A56" s="42" t="s">
        <v>322</v>
      </c>
      <c r="B56" s="42" t="s">
        <v>323</v>
      </c>
      <c r="C56" s="42">
        <v>4</v>
      </c>
      <c r="D56" s="43">
        <v>1</v>
      </c>
      <c r="E56" s="40" t="s">
        <v>169</v>
      </c>
      <c r="F56" s="42" t="s">
        <v>160</v>
      </c>
      <c r="G56" s="44" t="s">
        <v>160</v>
      </c>
      <c r="H56" s="44">
        <v>300</v>
      </c>
      <c r="I56" s="44">
        <v>5</v>
      </c>
      <c r="J56" s="44">
        <v>4</v>
      </c>
      <c r="K56" s="44" t="s">
        <v>161</v>
      </c>
      <c r="L56" s="44" t="s">
        <v>162</v>
      </c>
      <c r="M56" s="44" t="s">
        <v>162</v>
      </c>
      <c r="N56" s="44" t="s">
        <v>162</v>
      </c>
      <c r="O56" s="44" t="s">
        <v>162</v>
      </c>
      <c r="P56" s="47">
        <v>3</v>
      </c>
      <c r="Q56" s="48">
        <v>19.37</v>
      </c>
      <c r="R56" s="54" t="s">
        <v>193</v>
      </c>
      <c r="AB56" s="56" t="s">
        <v>68</v>
      </c>
      <c r="AC56" s="56" t="s">
        <v>183</v>
      </c>
    </row>
    <row r="57" spans="1:29" ht="15.5" customHeight="1" x14ac:dyDescent="0.35">
      <c r="A57" s="42" t="s">
        <v>324</v>
      </c>
      <c r="B57" s="42" t="s">
        <v>325</v>
      </c>
      <c r="C57" s="42">
        <v>2</v>
      </c>
      <c r="D57" s="43">
        <v>1</v>
      </c>
      <c r="E57" s="40" t="s">
        <v>210</v>
      </c>
      <c r="F57" s="42" t="s">
        <v>160</v>
      </c>
      <c r="G57" s="44" t="s">
        <v>160</v>
      </c>
      <c r="H57" s="44">
        <v>220</v>
      </c>
      <c r="I57" s="44">
        <v>3</v>
      </c>
      <c r="J57" s="44">
        <v>6</v>
      </c>
      <c r="K57" s="44" t="s">
        <v>161</v>
      </c>
      <c r="L57" s="44" t="s">
        <v>162</v>
      </c>
      <c r="M57" s="44" t="s">
        <v>162</v>
      </c>
      <c r="N57" s="44" t="s">
        <v>162</v>
      </c>
      <c r="O57" s="44" t="s">
        <v>162</v>
      </c>
      <c r="P57" s="47">
        <v>2.2000000000000002</v>
      </c>
      <c r="Q57" s="48">
        <v>16.2</v>
      </c>
      <c r="R57" s="54" t="s">
        <v>193</v>
      </c>
      <c r="AB57" s="55" t="s">
        <v>326</v>
      </c>
      <c r="AC57" s="55" t="s">
        <v>183</v>
      </c>
    </row>
    <row r="58" spans="1:29" ht="15.5" customHeight="1" x14ac:dyDescent="0.35">
      <c r="A58" s="42" t="s">
        <v>327</v>
      </c>
      <c r="B58" s="42" t="s">
        <v>328</v>
      </c>
      <c r="C58" s="42">
        <v>3</v>
      </c>
      <c r="D58" s="43">
        <v>1</v>
      </c>
      <c r="E58" s="40" t="s">
        <v>210</v>
      </c>
      <c r="F58" s="42" t="s">
        <v>160</v>
      </c>
      <c r="G58" s="44" t="s">
        <v>160</v>
      </c>
      <c r="H58" s="44">
        <v>220</v>
      </c>
      <c r="I58" s="44">
        <v>3</v>
      </c>
      <c r="J58" s="44">
        <v>6</v>
      </c>
      <c r="K58" s="44" t="s">
        <v>161</v>
      </c>
      <c r="L58" s="44" t="s">
        <v>162</v>
      </c>
      <c r="M58" s="44" t="s">
        <v>162</v>
      </c>
      <c r="N58" s="44" t="s">
        <v>162</v>
      </c>
      <c r="O58" s="44" t="s">
        <v>162</v>
      </c>
      <c r="P58" s="47">
        <v>3.3</v>
      </c>
      <c r="Q58" s="48">
        <v>30.68</v>
      </c>
      <c r="R58" s="54" t="s">
        <v>193</v>
      </c>
      <c r="AB58" s="56" t="s">
        <v>5</v>
      </c>
      <c r="AC58" s="56" t="s">
        <v>183</v>
      </c>
    </row>
    <row r="59" spans="1:29" ht="15.5" customHeight="1" x14ac:dyDescent="0.35">
      <c r="A59" s="42" t="s">
        <v>329</v>
      </c>
      <c r="B59" s="42" t="s">
        <v>330</v>
      </c>
      <c r="C59" s="42">
        <v>2</v>
      </c>
      <c r="D59" s="43">
        <v>1</v>
      </c>
      <c r="E59" s="40" t="s">
        <v>180</v>
      </c>
      <c r="F59" s="42" t="s">
        <v>160</v>
      </c>
      <c r="G59" s="44" t="s">
        <v>160</v>
      </c>
      <c r="H59" s="44">
        <v>180</v>
      </c>
      <c r="I59" s="44">
        <v>5</v>
      </c>
      <c r="J59" s="44">
        <v>7</v>
      </c>
      <c r="K59" s="44" t="s">
        <v>161</v>
      </c>
      <c r="L59" s="44" t="s">
        <v>162</v>
      </c>
      <c r="M59" s="44" t="s">
        <v>162</v>
      </c>
      <c r="N59" s="44" t="s">
        <v>162</v>
      </c>
      <c r="O59" s="44" t="s">
        <v>162</v>
      </c>
      <c r="P59" s="47">
        <v>5.4</v>
      </c>
      <c r="Q59" s="48">
        <v>33.520000000000003</v>
      </c>
      <c r="R59" s="54" t="s">
        <v>193</v>
      </c>
      <c r="AB59" s="55" t="s">
        <v>300</v>
      </c>
      <c r="AC59" s="55" t="s">
        <v>183</v>
      </c>
    </row>
    <row r="60" spans="1:29" ht="15.5" customHeight="1" x14ac:dyDescent="0.35">
      <c r="A60" s="42" t="s">
        <v>10</v>
      </c>
      <c r="B60" s="42" t="s">
        <v>331</v>
      </c>
      <c r="C60" s="42">
        <v>2</v>
      </c>
      <c r="D60" s="43">
        <v>1</v>
      </c>
      <c r="E60" s="40" t="s">
        <v>180</v>
      </c>
      <c r="F60" s="42" t="s">
        <v>160</v>
      </c>
      <c r="G60" s="44" t="s">
        <v>160</v>
      </c>
      <c r="H60" s="44">
        <v>180</v>
      </c>
      <c r="I60" s="44">
        <v>5</v>
      </c>
      <c r="J60" s="44">
        <v>7</v>
      </c>
      <c r="K60" s="44" t="s">
        <v>161</v>
      </c>
      <c r="L60" s="44" t="s">
        <v>162</v>
      </c>
      <c r="M60" s="44" t="s">
        <v>162</v>
      </c>
      <c r="N60" s="44" t="s">
        <v>162</v>
      </c>
      <c r="O60" s="44" t="s">
        <v>162</v>
      </c>
      <c r="P60" s="47">
        <v>5.4</v>
      </c>
      <c r="Q60" s="48">
        <v>32.26</v>
      </c>
      <c r="R60" s="54" t="str">
        <f>_xlfn.XLOOKUP(Table4[[#This Row],[ref_id]],$AB$5:$AB$182,$AC$5:$AC$182)</f>
        <v>C</v>
      </c>
      <c r="AB60" s="56" t="s">
        <v>12</v>
      </c>
      <c r="AC60" s="56" t="s">
        <v>183</v>
      </c>
    </row>
    <row r="61" spans="1:29" ht="15.5" customHeight="1" x14ac:dyDescent="0.35">
      <c r="A61" s="42" t="s">
        <v>283</v>
      </c>
      <c r="B61" s="42" t="s">
        <v>332</v>
      </c>
      <c r="C61" s="42">
        <v>2</v>
      </c>
      <c r="D61" s="43">
        <v>1</v>
      </c>
      <c r="E61" s="40" t="s">
        <v>180</v>
      </c>
      <c r="F61" s="42" t="s">
        <v>160</v>
      </c>
      <c r="G61" s="44" t="s">
        <v>160</v>
      </c>
      <c r="H61" s="44">
        <v>200</v>
      </c>
      <c r="I61" s="44">
        <v>9</v>
      </c>
      <c r="J61" s="44">
        <v>7</v>
      </c>
      <c r="K61" s="44" t="s">
        <v>161</v>
      </c>
      <c r="L61" s="44" t="s">
        <v>162</v>
      </c>
      <c r="M61" s="44" t="s">
        <v>162</v>
      </c>
      <c r="N61" s="44" t="s">
        <v>162</v>
      </c>
      <c r="O61" s="44" t="s">
        <v>162</v>
      </c>
      <c r="P61" s="47">
        <v>4.4000000000000004</v>
      </c>
      <c r="Q61" s="48">
        <v>33.57</v>
      </c>
      <c r="R61" s="54" t="str">
        <f>_xlfn.XLOOKUP(Table4[[#This Row],[ref_id]],$AB$5:$AB$182,$AC$5:$AC$182)</f>
        <v>B</v>
      </c>
      <c r="AB61" s="55" t="s">
        <v>29</v>
      </c>
      <c r="AC61" s="55" t="s">
        <v>193</v>
      </c>
    </row>
    <row r="62" spans="1:29" ht="15.5" customHeight="1" x14ac:dyDescent="0.35">
      <c r="A62" s="42" t="s">
        <v>333</v>
      </c>
      <c r="B62" s="42" t="s">
        <v>334</v>
      </c>
      <c r="C62" s="42">
        <v>2</v>
      </c>
      <c r="D62" s="43">
        <v>1</v>
      </c>
      <c r="E62" s="40" t="s">
        <v>180</v>
      </c>
      <c r="F62" s="42" t="s">
        <v>160</v>
      </c>
      <c r="G62" s="44" t="s">
        <v>160</v>
      </c>
      <c r="H62" s="44">
        <v>200</v>
      </c>
      <c r="I62" s="44">
        <v>9</v>
      </c>
      <c r="J62" s="44">
        <v>7</v>
      </c>
      <c r="K62" s="44" t="s">
        <v>161</v>
      </c>
      <c r="L62" s="44" t="s">
        <v>162</v>
      </c>
      <c r="M62" s="44" t="s">
        <v>162</v>
      </c>
      <c r="N62" s="44" t="s">
        <v>162</v>
      </c>
      <c r="O62" s="44" t="s">
        <v>162</v>
      </c>
      <c r="P62" s="47">
        <v>4.4000000000000004</v>
      </c>
      <c r="Q62" s="48">
        <v>34.03</v>
      </c>
      <c r="R62" s="54" t="s">
        <v>183</v>
      </c>
      <c r="AB62" s="56" t="s">
        <v>335</v>
      </c>
      <c r="AC62" s="56" t="s">
        <v>193</v>
      </c>
    </row>
    <row r="63" spans="1:29" ht="15.5" customHeight="1" x14ac:dyDescent="0.35">
      <c r="A63" s="42" t="s">
        <v>30</v>
      </c>
      <c r="B63" s="42" t="s">
        <v>336</v>
      </c>
      <c r="C63" s="42">
        <v>2</v>
      </c>
      <c r="D63" s="43">
        <v>0</v>
      </c>
      <c r="E63" s="40" t="s">
        <v>206</v>
      </c>
      <c r="F63" s="42" t="s">
        <v>160</v>
      </c>
      <c r="G63" s="44" t="s">
        <v>160</v>
      </c>
      <c r="H63" s="44">
        <v>180</v>
      </c>
      <c r="I63" s="44">
        <v>4</v>
      </c>
      <c r="J63" s="44">
        <v>5</v>
      </c>
      <c r="K63" s="44" t="s">
        <v>161</v>
      </c>
      <c r="L63" s="44" t="s">
        <v>162</v>
      </c>
      <c r="M63" s="44" t="s">
        <v>162</v>
      </c>
      <c r="N63" s="44" t="s">
        <v>162</v>
      </c>
      <c r="O63" s="44" t="s">
        <v>162</v>
      </c>
      <c r="P63" s="47">
        <v>2.8</v>
      </c>
      <c r="Q63" s="48">
        <v>16.850000000000001</v>
      </c>
      <c r="R63" s="54" t="str">
        <f>_xlfn.XLOOKUP(Table4[[#This Row],[ref_id]],$AB$5:$AB$182,$AC$5:$AC$182)</f>
        <v>B</v>
      </c>
      <c r="AB63" s="55" t="s">
        <v>27</v>
      </c>
      <c r="AC63" s="55" t="s">
        <v>193</v>
      </c>
    </row>
    <row r="64" spans="1:29" ht="15.5" customHeight="1" x14ac:dyDescent="0.35">
      <c r="A64" s="42" t="s">
        <v>337</v>
      </c>
      <c r="B64" s="42" t="s">
        <v>338</v>
      </c>
      <c r="C64" s="42">
        <v>2</v>
      </c>
      <c r="D64" s="43">
        <v>1</v>
      </c>
      <c r="E64" s="40" t="s">
        <v>183</v>
      </c>
      <c r="F64" s="42" t="s">
        <v>160</v>
      </c>
      <c r="G64" s="44" t="s">
        <v>160</v>
      </c>
      <c r="H64" s="44">
        <v>180</v>
      </c>
      <c r="I64" s="44">
        <v>0</v>
      </c>
      <c r="J64" s="44">
        <v>6</v>
      </c>
      <c r="K64" s="44" t="s">
        <v>161</v>
      </c>
      <c r="L64" s="44" t="s">
        <v>162</v>
      </c>
      <c r="M64" s="44" t="s">
        <v>162</v>
      </c>
      <c r="N64" s="44" t="s">
        <v>162</v>
      </c>
      <c r="O64" s="44" t="s">
        <v>162</v>
      </c>
      <c r="P64" s="47">
        <v>2.4</v>
      </c>
      <c r="Q64" s="48">
        <v>22.94</v>
      </c>
      <c r="R64" s="54" t="str">
        <f>_xlfn.XLOOKUP(Table4[[#This Row],[ref_id]],$AB$5:$AB$182,$AC$5:$AC$182)</f>
        <v>C</v>
      </c>
      <c r="AB64" s="56" t="s">
        <v>66</v>
      </c>
      <c r="AC64" s="56" t="s">
        <v>193</v>
      </c>
    </row>
    <row r="65" spans="1:29" ht="15.5" customHeight="1" x14ac:dyDescent="0.35">
      <c r="A65" s="42" t="s">
        <v>339</v>
      </c>
      <c r="B65" s="42" t="s">
        <v>340</v>
      </c>
      <c r="C65" s="42">
        <v>4</v>
      </c>
      <c r="D65" s="43">
        <v>1</v>
      </c>
      <c r="E65" s="40" t="s">
        <v>183</v>
      </c>
      <c r="F65" s="42" t="s">
        <v>160</v>
      </c>
      <c r="G65" s="44" t="s">
        <v>160</v>
      </c>
      <c r="H65" s="44">
        <v>300</v>
      </c>
      <c r="I65" s="44">
        <v>6</v>
      </c>
      <c r="J65" s="44">
        <v>5</v>
      </c>
      <c r="K65" s="44" t="s">
        <v>161</v>
      </c>
      <c r="L65" s="44" t="s">
        <v>162</v>
      </c>
      <c r="M65" s="44" t="s">
        <v>162</v>
      </c>
      <c r="N65" s="44" t="s">
        <v>162</v>
      </c>
      <c r="O65" s="44" t="s">
        <v>162</v>
      </c>
      <c r="P65" s="47">
        <v>2.4</v>
      </c>
      <c r="Q65" s="48">
        <v>16.87</v>
      </c>
      <c r="R65" s="54" t="str">
        <f>_xlfn.XLOOKUP(Table4[[#This Row],[ref_id]],$AB$5:$AB$182,$AC$5:$AC$182)</f>
        <v>C</v>
      </c>
      <c r="AB65" s="55" t="s">
        <v>47</v>
      </c>
      <c r="AC65" s="55" t="s">
        <v>193</v>
      </c>
    </row>
    <row r="66" spans="1:29" ht="15.5" customHeight="1" x14ac:dyDescent="0.35">
      <c r="A66" s="42" t="s">
        <v>341</v>
      </c>
      <c r="B66" s="42" t="s">
        <v>342</v>
      </c>
      <c r="C66" s="42">
        <v>4</v>
      </c>
      <c r="D66" s="43">
        <v>1</v>
      </c>
      <c r="E66" s="40" t="s">
        <v>183</v>
      </c>
      <c r="F66" s="42" t="s">
        <v>160</v>
      </c>
      <c r="G66" s="44" t="s">
        <v>160</v>
      </c>
      <c r="H66" s="44">
        <v>300</v>
      </c>
      <c r="I66" s="44">
        <v>6</v>
      </c>
      <c r="J66" s="44">
        <v>5</v>
      </c>
      <c r="K66" s="44" t="s">
        <v>161</v>
      </c>
      <c r="L66" s="44" t="s">
        <v>162</v>
      </c>
      <c r="M66" s="44" t="s">
        <v>162</v>
      </c>
      <c r="N66" s="44" t="s">
        <v>162</v>
      </c>
      <c r="O66" s="44" t="s">
        <v>162</v>
      </c>
      <c r="P66" s="47">
        <v>2.4</v>
      </c>
      <c r="Q66" s="48">
        <v>16.309999999999999</v>
      </c>
      <c r="R66" s="54" t="str">
        <f>_xlfn.XLOOKUP(Table4[[#This Row],[ref_id]],$AB$5:$AB$182,$AC$5:$AC$182)</f>
        <v>C</v>
      </c>
      <c r="AB66" s="56" t="s">
        <v>9</v>
      </c>
      <c r="AC66" s="56" t="s">
        <v>193</v>
      </c>
    </row>
    <row r="67" spans="1:29" ht="15.5" customHeight="1" x14ac:dyDescent="0.35">
      <c r="A67" s="42" t="s">
        <v>343</v>
      </c>
      <c r="B67" s="42" t="s">
        <v>344</v>
      </c>
      <c r="C67" s="42">
        <v>3</v>
      </c>
      <c r="D67" s="43">
        <v>1</v>
      </c>
      <c r="E67" s="40" t="s">
        <v>159</v>
      </c>
      <c r="F67" s="42" t="s">
        <v>160</v>
      </c>
      <c r="G67" s="44" t="s">
        <v>160</v>
      </c>
      <c r="H67" s="44">
        <v>240</v>
      </c>
      <c r="I67" s="44">
        <v>6</v>
      </c>
      <c r="J67" s="44">
        <v>5</v>
      </c>
      <c r="K67" s="44" t="s">
        <v>161</v>
      </c>
      <c r="L67" s="44" t="s">
        <v>162</v>
      </c>
      <c r="M67" s="44" t="s">
        <v>162</v>
      </c>
      <c r="N67" s="44" t="s">
        <v>162</v>
      </c>
      <c r="O67" s="44" t="s">
        <v>162</v>
      </c>
      <c r="P67" s="47">
        <v>3.6</v>
      </c>
      <c r="Q67" s="48">
        <v>27.08</v>
      </c>
      <c r="R67" s="54" t="str">
        <f>_xlfn.XLOOKUP(Table4[[#This Row],[ref_id]],$AB$5:$AB$182,$AC$5:$AC$182)</f>
        <v>C</v>
      </c>
      <c r="AB67" s="55" t="s">
        <v>345</v>
      </c>
      <c r="AC67" s="55" t="s">
        <v>193</v>
      </c>
    </row>
    <row r="68" spans="1:29" ht="15.5" customHeight="1" x14ac:dyDescent="0.35">
      <c r="A68" s="42" t="s">
        <v>346</v>
      </c>
      <c r="B68" s="42" t="s">
        <v>347</v>
      </c>
      <c r="C68" s="42">
        <v>2</v>
      </c>
      <c r="D68" s="43">
        <v>1</v>
      </c>
      <c r="E68" s="40" t="s">
        <v>206</v>
      </c>
      <c r="F68" s="42" t="s">
        <v>160</v>
      </c>
      <c r="G68" s="44" t="s">
        <v>160</v>
      </c>
      <c r="H68" s="44">
        <v>180</v>
      </c>
      <c r="I68" s="44">
        <v>4</v>
      </c>
      <c r="J68" s="44">
        <v>8</v>
      </c>
      <c r="K68" s="44" t="s">
        <v>161</v>
      </c>
      <c r="L68" s="44" t="s">
        <v>162</v>
      </c>
      <c r="M68" s="44" t="s">
        <v>162</v>
      </c>
      <c r="N68" s="44" t="s">
        <v>162</v>
      </c>
      <c r="O68" s="44" t="s">
        <v>162</v>
      </c>
      <c r="P68" s="47">
        <v>3</v>
      </c>
      <c r="Q68" s="48">
        <v>21.55</v>
      </c>
      <c r="R68" s="54" t="s">
        <v>183</v>
      </c>
      <c r="AB68" s="56" t="s">
        <v>33</v>
      </c>
      <c r="AC68" s="56" t="s">
        <v>193</v>
      </c>
    </row>
    <row r="69" spans="1:29" ht="15.5" customHeight="1" x14ac:dyDescent="0.35">
      <c r="A69" s="42" t="s">
        <v>348</v>
      </c>
      <c r="B69" s="42" t="s">
        <v>349</v>
      </c>
      <c r="C69" s="42">
        <v>2</v>
      </c>
      <c r="D69" s="43">
        <v>1</v>
      </c>
      <c r="E69" s="40" t="s">
        <v>206</v>
      </c>
      <c r="F69" s="42" t="s">
        <v>160</v>
      </c>
      <c r="G69" s="44" t="s">
        <v>160</v>
      </c>
      <c r="H69" s="44">
        <v>180</v>
      </c>
      <c r="I69" s="44">
        <v>4</v>
      </c>
      <c r="J69" s="44">
        <v>8</v>
      </c>
      <c r="K69" s="44" t="s">
        <v>161</v>
      </c>
      <c r="L69" s="44" t="s">
        <v>162</v>
      </c>
      <c r="M69" s="44" t="s">
        <v>162</v>
      </c>
      <c r="N69" s="44" t="s">
        <v>162</v>
      </c>
      <c r="O69" s="44" t="s">
        <v>162</v>
      </c>
      <c r="P69" s="47">
        <v>2.6</v>
      </c>
      <c r="Q69" s="48">
        <v>16.850000000000001</v>
      </c>
      <c r="R69" s="54" t="s">
        <v>193</v>
      </c>
      <c r="AB69" s="55" t="s">
        <v>350</v>
      </c>
      <c r="AC69" s="55" t="s">
        <v>193</v>
      </c>
    </row>
    <row r="70" spans="1:29" ht="15.5" customHeight="1" x14ac:dyDescent="0.35">
      <c r="A70" s="42" t="s">
        <v>31</v>
      </c>
      <c r="B70" s="42" t="s">
        <v>351</v>
      </c>
      <c r="C70" s="42">
        <v>2</v>
      </c>
      <c r="D70" s="43">
        <v>1</v>
      </c>
      <c r="E70" s="40" t="s">
        <v>289</v>
      </c>
      <c r="F70" s="42" t="s">
        <v>160</v>
      </c>
      <c r="G70" s="44" t="s">
        <v>160</v>
      </c>
      <c r="H70" s="44">
        <v>200</v>
      </c>
      <c r="I70" s="44">
        <v>3</v>
      </c>
      <c r="J70" s="44">
        <v>6</v>
      </c>
      <c r="K70" s="44" t="s">
        <v>161</v>
      </c>
      <c r="L70" s="44" t="s">
        <v>162</v>
      </c>
      <c r="M70" s="44" t="s">
        <v>162</v>
      </c>
      <c r="N70" s="44" t="s">
        <v>162</v>
      </c>
      <c r="O70" s="44" t="s">
        <v>162</v>
      </c>
      <c r="P70" s="47">
        <v>2</v>
      </c>
      <c r="Q70" s="48">
        <v>17.73</v>
      </c>
      <c r="R70" s="54" t="str">
        <f>_xlfn.XLOOKUP(Table4[[#This Row],[ref_id]],$AB$5:$AB$182,$AC$5:$AC$182)</f>
        <v>C</v>
      </c>
      <c r="AB70" s="56" t="s">
        <v>62</v>
      </c>
      <c r="AC70" s="56" t="s">
        <v>193</v>
      </c>
    </row>
    <row r="71" spans="1:29" ht="15.5" customHeight="1" x14ac:dyDescent="0.35">
      <c r="A71" s="42" t="s">
        <v>352</v>
      </c>
      <c r="B71" s="42" t="s">
        <v>353</v>
      </c>
      <c r="C71" s="42">
        <v>4</v>
      </c>
      <c r="D71" s="43">
        <v>1</v>
      </c>
      <c r="E71" s="40" t="s">
        <v>289</v>
      </c>
      <c r="F71" s="42" t="s">
        <v>160</v>
      </c>
      <c r="G71" s="44" t="s">
        <v>160</v>
      </c>
      <c r="H71" s="44">
        <v>200</v>
      </c>
      <c r="I71" s="44">
        <v>3</v>
      </c>
      <c r="J71" s="44">
        <v>6</v>
      </c>
      <c r="K71" s="44" t="s">
        <v>161</v>
      </c>
      <c r="L71" s="44" t="s">
        <v>162</v>
      </c>
      <c r="M71" s="44" t="s">
        <v>162</v>
      </c>
      <c r="N71" s="44" t="s">
        <v>162</v>
      </c>
      <c r="O71" s="44" t="s">
        <v>162</v>
      </c>
      <c r="P71" s="47">
        <v>4</v>
      </c>
      <c r="Q71" s="48">
        <v>33.74</v>
      </c>
      <c r="R71" s="54" t="str">
        <f>_xlfn.XLOOKUP(Table4[[#This Row],[ref_id]],$AB$5:$AB$182,$AC$5:$AC$182)</f>
        <v>C</v>
      </c>
      <c r="AB71" s="55" t="s">
        <v>55</v>
      </c>
      <c r="AC71" s="55" t="s">
        <v>193</v>
      </c>
    </row>
    <row r="72" spans="1:29" ht="15.5" customHeight="1" x14ac:dyDescent="0.35">
      <c r="A72" s="42" t="s">
        <v>354</v>
      </c>
      <c r="B72" s="42" t="s">
        <v>355</v>
      </c>
      <c r="C72" s="42">
        <v>4</v>
      </c>
      <c r="D72" s="43">
        <v>1</v>
      </c>
      <c r="E72" s="40" t="s">
        <v>289</v>
      </c>
      <c r="F72" s="42" t="s">
        <v>160</v>
      </c>
      <c r="G72" s="44" t="s">
        <v>160</v>
      </c>
      <c r="H72" s="44">
        <v>200</v>
      </c>
      <c r="I72" s="44">
        <v>3</v>
      </c>
      <c r="J72" s="44">
        <v>6</v>
      </c>
      <c r="K72" s="44" t="s">
        <v>161</v>
      </c>
      <c r="L72" s="44" t="s">
        <v>162</v>
      </c>
      <c r="M72" s="44" t="s">
        <v>162</v>
      </c>
      <c r="N72" s="44" t="s">
        <v>162</v>
      </c>
      <c r="O72" s="44" t="s">
        <v>162</v>
      </c>
      <c r="P72" s="47">
        <v>4</v>
      </c>
      <c r="Q72" s="48">
        <v>37.49</v>
      </c>
      <c r="R72" s="54" t="str">
        <f>_xlfn.XLOOKUP(Table4[[#This Row],[ref_id]],$AB$5:$AB$182,$AC$5:$AC$182)</f>
        <v>C</v>
      </c>
      <c r="AB72" s="56" t="s">
        <v>53</v>
      </c>
      <c r="AC72" s="56" t="s">
        <v>193</v>
      </c>
    </row>
    <row r="73" spans="1:29" ht="15.5" customHeight="1" x14ac:dyDescent="0.35">
      <c r="A73" s="42" t="s">
        <v>326</v>
      </c>
      <c r="B73" s="42" t="s">
        <v>356</v>
      </c>
      <c r="C73" s="42">
        <v>3</v>
      </c>
      <c r="D73" s="43">
        <v>1</v>
      </c>
      <c r="E73" s="40" t="s">
        <v>169</v>
      </c>
      <c r="F73" s="42" t="s">
        <v>160</v>
      </c>
      <c r="G73" s="44" t="s">
        <v>160</v>
      </c>
      <c r="H73" s="44">
        <v>200</v>
      </c>
      <c r="I73" s="44">
        <v>3</v>
      </c>
      <c r="J73" s="44">
        <v>6</v>
      </c>
      <c r="K73" s="44" t="s">
        <v>161</v>
      </c>
      <c r="L73" s="44" t="s">
        <v>162</v>
      </c>
      <c r="M73" s="44" t="s">
        <v>162</v>
      </c>
      <c r="N73" s="44" t="s">
        <v>162</v>
      </c>
      <c r="O73" s="44" t="s">
        <v>162</v>
      </c>
      <c r="P73" s="47">
        <v>4.5</v>
      </c>
      <c r="Q73" s="48">
        <v>29.58</v>
      </c>
      <c r="R73" s="54" t="str">
        <f>_xlfn.XLOOKUP(Table4[[#This Row],[ref_id]],$AB$5:$AB$182,$AC$5:$AC$182)</f>
        <v>B</v>
      </c>
      <c r="AB73" s="55" t="s">
        <v>37</v>
      </c>
      <c r="AC73" s="55" t="s">
        <v>193</v>
      </c>
    </row>
    <row r="74" spans="1:29" ht="15.5" customHeight="1" x14ac:dyDescent="0.35">
      <c r="A74" s="42" t="s">
        <v>357</v>
      </c>
      <c r="B74" s="42" t="s">
        <v>358</v>
      </c>
      <c r="C74" s="42">
        <v>1</v>
      </c>
      <c r="D74" s="43">
        <v>1</v>
      </c>
      <c r="E74" s="40" t="s">
        <v>219</v>
      </c>
      <c r="F74" s="42" t="s">
        <v>160</v>
      </c>
      <c r="G74" s="44" t="s">
        <v>160</v>
      </c>
      <c r="H74" s="44">
        <v>220</v>
      </c>
      <c r="I74" s="44">
        <v>3</v>
      </c>
      <c r="J74" s="44">
        <v>4</v>
      </c>
      <c r="K74" s="44" t="s">
        <v>161</v>
      </c>
      <c r="L74" s="44" t="s">
        <v>162</v>
      </c>
      <c r="M74" s="44" t="s">
        <v>162</v>
      </c>
      <c r="N74" s="44" t="s">
        <v>162</v>
      </c>
      <c r="O74" s="44" t="s">
        <v>162</v>
      </c>
      <c r="P74" s="47">
        <v>1.95</v>
      </c>
      <c r="Q74" s="48">
        <v>13.78</v>
      </c>
      <c r="R74" s="54" t="str">
        <f>_xlfn.XLOOKUP(Table4[[#This Row],[ref_id]],$AB$5:$AB$182,$AC$5:$AC$182)</f>
        <v>C</v>
      </c>
      <c r="AB74" s="56" t="s">
        <v>341</v>
      </c>
      <c r="AC74" s="56" t="s">
        <v>193</v>
      </c>
    </row>
    <row r="75" spans="1:29" ht="15.5" customHeight="1" x14ac:dyDescent="0.35">
      <c r="A75" s="42" t="s">
        <v>32</v>
      </c>
      <c r="B75" s="42" t="s">
        <v>359</v>
      </c>
      <c r="C75" s="42">
        <v>2</v>
      </c>
      <c r="D75" s="43">
        <v>1</v>
      </c>
      <c r="E75" s="40" t="s">
        <v>219</v>
      </c>
      <c r="F75" s="42" t="s">
        <v>160</v>
      </c>
      <c r="G75" s="44" t="s">
        <v>160</v>
      </c>
      <c r="H75" s="44">
        <v>240</v>
      </c>
      <c r="I75" s="44">
        <v>3</v>
      </c>
      <c r="J75" s="44">
        <v>4</v>
      </c>
      <c r="K75" s="44" t="s">
        <v>161</v>
      </c>
      <c r="L75" s="44" t="s">
        <v>162</v>
      </c>
      <c r="M75" s="44" t="s">
        <v>162</v>
      </c>
      <c r="N75" s="44" t="s">
        <v>162</v>
      </c>
      <c r="O75" s="44" t="s">
        <v>162</v>
      </c>
      <c r="P75" s="47">
        <v>3.4</v>
      </c>
      <c r="Q75" s="48">
        <v>21</v>
      </c>
      <c r="R75" s="54" t="str">
        <f>_xlfn.XLOOKUP(Table4[[#This Row],[ref_id]],$AB$5:$AB$182,$AC$5:$AC$182)</f>
        <v>B</v>
      </c>
      <c r="AB75" s="55" t="s">
        <v>57</v>
      </c>
      <c r="AC75" s="55" t="s">
        <v>193</v>
      </c>
    </row>
    <row r="76" spans="1:29" ht="15.5" customHeight="1" x14ac:dyDescent="0.35">
      <c r="A76" s="42" t="s">
        <v>360</v>
      </c>
      <c r="B76" s="42" t="s">
        <v>361</v>
      </c>
      <c r="C76" s="42">
        <v>4</v>
      </c>
      <c r="D76" s="43">
        <v>1</v>
      </c>
      <c r="E76" s="40" t="s">
        <v>219</v>
      </c>
      <c r="F76" s="42" t="s">
        <v>160</v>
      </c>
      <c r="G76" s="44" t="s">
        <v>160</v>
      </c>
      <c r="H76" s="44">
        <v>300</v>
      </c>
      <c r="I76" s="44">
        <v>4</v>
      </c>
      <c r="J76" s="44">
        <v>5</v>
      </c>
      <c r="K76" s="44" t="s">
        <v>161</v>
      </c>
      <c r="L76" s="44" t="s">
        <v>162</v>
      </c>
      <c r="M76" s="44" t="s">
        <v>162</v>
      </c>
      <c r="N76" s="44" t="s">
        <v>162</v>
      </c>
      <c r="O76" s="44" t="s">
        <v>162</v>
      </c>
      <c r="P76" s="47">
        <v>2.6</v>
      </c>
      <c r="Q76" s="48">
        <v>15.51</v>
      </c>
      <c r="R76" s="54" t="str">
        <f>_xlfn.XLOOKUP(Table4[[#This Row],[ref_id]],$AB$5:$AB$182,$AC$5:$AC$182)</f>
        <v>C</v>
      </c>
      <c r="AB76" s="56" t="s">
        <v>75</v>
      </c>
      <c r="AC76" s="56" t="s">
        <v>193</v>
      </c>
    </row>
    <row r="77" spans="1:29" ht="15.5" customHeight="1" x14ac:dyDescent="0.35">
      <c r="A77" s="42" t="s">
        <v>362</v>
      </c>
      <c r="B77" s="42" t="s">
        <v>363</v>
      </c>
      <c r="C77" s="42">
        <v>4</v>
      </c>
      <c r="D77" s="43">
        <v>1</v>
      </c>
      <c r="E77" s="40" t="s">
        <v>219</v>
      </c>
      <c r="F77" s="42" t="s">
        <v>160</v>
      </c>
      <c r="G77" s="44" t="s">
        <v>160</v>
      </c>
      <c r="H77" s="44">
        <v>300</v>
      </c>
      <c r="I77" s="44">
        <v>4</v>
      </c>
      <c r="J77" s="44">
        <v>5</v>
      </c>
      <c r="K77" s="44" t="s">
        <v>161</v>
      </c>
      <c r="L77" s="44" t="s">
        <v>162</v>
      </c>
      <c r="M77" s="44" t="s">
        <v>162</v>
      </c>
      <c r="N77" s="44" t="s">
        <v>162</v>
      </c>
      <c r="O77" s="44" t="s">
        <v>162</v>
      </c>
      <c r="P77" s="47">
        <v>2.6</v>
      </c>
      <c r="Q77" s="48">
        <v>14.71</v>
      </c>
      <c r="R77" s="54" t="str">
        <f>_xlfn.XLOOKUP(Table4[[#This Row],[ref_id]],$AB$5:$AB$182,$AC$5:$AC$182)</f>
        <v>C</v>
      </c>
      <c r="AB77" s="55" t="s">
        <v>51</v>
      </c>
      <c r="AC77" s="55" t="s">
        <v>193</v>
      </c>
    </row>
    <row r="78" spans="1:29" ht="15.5" customHeight="1" x14ac:dyDescent="0.35">
      <c r="A78" s="42" t="s">
        <v>213</v>
      </c>
      <c r="B78" s="42" t="s">
        <v>364</v>
      </c>
      <c r="C78" s="42">
        <v>1</v>
      </c>
      <c r="D78" s="43">
        <v>1</v>
      </c>
      <c r="E78" s="40" t="s">
        <v>219</v>
      </c>
      <c r="F78" s="42" t="s">
        <v>160</v>
      </c>
      <c r="G78" s="44" t="s">
        <v>160</v>
      </c>
      <c r="H78" s="44">
        <v>220</v>
      </c>
      <c r="I78" s="44">
        <v>4</v>
      </c>
      <c r="J78" s="44">
        <v>7</v>
      </c>
      <c r="K78" s="44" t="s">
        <v>161</v>
      </c>
      <c r="L78" s="44" t="s">
        <v>162</v>
      </c>
      <c r="M78" s="44" t="s">
        <v>162</v>
      </c>
      <c r="N78" s="44" t="s">
        <v>162</v>
      </c>
      <c r="O78" s="44" t="s">
        <v>162</v>
      </c>
      <c r="P78" s="47">
        <v>1.3</v>
      </c>
      <c r="Q78" s="48">
        <v>8.39</v>
      </c>
      <c r="R78" s="54" t="str">
        <f>_xlfn.XLOOKUP(Table4[[#This Row],[ref_id]],$AB$5:$AB$182,$AC$5:$AC$182)</f>
        <v>B</v>
      </c>
      <c r="AB78" s="56" t="s">
        <v>45</v>
      </c>
      <c r="AC78" s="56" t="s">
        <v>193</v>
      </c>
    </row>
    <row r="79" spans="1:29" ht="15.5" customHeight="1" x14ac:dyDescent="0.35">
      <c r="A79" s="42" t="s">
        <v>365</v>
      </c>
      <c r="B79" s="42" t="s">
        <v>366</v>
      </c>
      <c r="C79" s="42">
        <v>3</v>
      </c>
      <c r="D79" s="43">
        <v>1</v>
      </c>
      <c r="E79" s="40" t="s">
        <v>246</v>
      </c>
      <c r="F79" s="42" t="s">
        <v>160</v>
      </c>
      <c r="G79" s="44" t="s">
        <v>160</v>
      </c>
      <c r="H79" s="44">
        <v>280</v>
      </c>
      <c r="I79" s="44">
        <v>4</v>
      </c>
      <c r="J79" s="44">
        <v>5</v>
      </c>
      <c r="K79" s="44" t="s">
        <v>161</v>
      </c>
      <c r="L79" s="44" t="s">
        <v>162</v>
      </c>
      <c r="M79" s="44" t="s">
        <v>162</v>
      </c>
      <c r="N79" s="44" t="s">
        <v>162</v>
      </c>
      <c r="O79" s="44" t="s">
        <v>162</v>
      </c>
      <c r="P79" s="47">
        <v>4.5</v>
      </c>
      <c r="Q79" s="48">
        <v>32.46</v>
      </c>
      <c r="R79" s="54" t="str">
        <f>_xlfn.XLOOKUP(Table4[[#This Row],[ref_id]],$AB$5:$AB$182,$AC$5:$AC$182)</f>
        <v>C</v>
      </c>
      <c r="AB79" s="55" t="s">
        <v>21</v>
      </c>
      <c r="AC79" s="55" t="s">
        <v>193</v>
      </c>
    </row>
    <row r="80" spans="1:29" ht="15.5" customHeight="1" x14ac:dyDescent="0.35">
      <c r="A80" s="42" t="s">
        <v>62</v>
      </c>
      <c r="B80" s="42" t="s">
        <v>367</v>
      </c>
      <c r="C80" s="42">
        <v>4</v>
      </c>
      <c r="D80" s="43">
        <v>1</v>
      </c>
      <c r="E80" s="40" t="s">
        <v>246</v>
      </c>
      <c r="F80" s="42" t="s">
        <v>160</v>
      </c>
      <c r="G80" s="44" t="s">
        <v>160</v>
      </c>
      <c r="H80" s="44">
        <v>280</v>
      </c>
      <c r="I80" s="44">
        <v>4</v>
      </c>
      <c r="J80" s="44">
        <v>5</v>
      </c>
      <c r="K80" s="44" t="s">
        <v>161</v>
      </c>
      <c r="L80" s="44" t="s">
        <v>162</v>
      </c>
      <c r="M80" s="44" t="s">
        <v>162</v>
      </c>
      <c r="N80" s="44" t="s">
        <v>162</v>
      </c>
      <c r="O80" s="44" t="s">
        <v>162</v>
      </c>
      <c r="P80" s="47">
        <v>6</v>
      </c>
      <c r="Q80" s="48">
        <v>37.74</v>
      </c>
      <c r="R80" s="54" t="str">
        <f>_xlfn.XLOOKUP(Table4[[#This Row],[ref_id]],$AB$5:$AB$182,$AC$5:$AC$182)</f>
        <v>C</v>
      </c>
      <c r="AB80" s="56" t="s">
        <v>77</v>
      </c>
      <c r="AC80" s="56" t="s">
        <v>193</v>
      </c>
    </row>
    <row r="81" spans="1:29" ht="15.5" customHeight="1" x14ac:dyDescent="0.35">
      <c r="A81" s="42" t="s">
        <v>78</v>
      </c>
      <c r="B81" s="42" t="s">
        <v>368</v>
      </c>
      <c r="C81" s="42">
        <v>1</v>
      </c>
      <c r="D81" s="43">
        <v>1</v>
      </c>
      <c r="E81" s="40" t="s">
        <v>219</v>
      </c>
      <c r="F81" s="42" t="s">
        <v>160</v>
      </c>
      <c r="G81" s="44" t="s">
        <v>160</v>
      </c>
      <c r="H81" s="44">
        <v>220</v>
      </c>
      <c r="I81" s="44">
        <v>4</v>
      </c>
      <c r="J81" s="44">
        <v>5</v>
      </c>
      <c r="K81" s="44" t="s">
        <v>161</v>
      </c>
      <c r="L81" s="44" t="s">
        <v>162</v>
      </c>
      <c r="M81" s="44" t="s">
        <v>162</v>
      </c>
      <c r="N81" s="44" t="s">
        <v>162</v>
      </c>
      <c r="O81" s="44" t="s">
        <v>162</v>
      </c>
      <c r="P81" s="47">
        <v>1.5</v>
      </c>
      <c r="Q81" s="48">
        <v>8.9700000000000006</v>
      </c>
      <c r="R81" s="54" t="str">
        <f>_xlfn.XLOOKUP(Table4[[#This Row],[ref_id]],$AB$5:$AB$182,$AC$5:$AC$182)</f>
        <v>A</v>
      </c>
      <c r="AB81" s="55" t="s">
        <v>34</v>
      </c>
      <c r="AC81" s="55" t="s">
        <v>193</v>
      </c>
    </row>
    <row r="82" spans="1:29" ht="15.5" customHeight="1" x14ac:dyDescent="0.35">
      <c r="A82" s="42" t="s">
        <v>34</v>
      </c>
      <c r="B82" s="42" t="s">
        <v>369</v>
      </c>
      <c r="C82" s="42">
        <v>2</v>
      </c>
      <c r="D82" s="43">
        <v>1</v>
      </c>
      <c r="E82" s="40" t="s">
        <v>289</v>
      </c>
      <c r="F82" s="42" t="s">
        <v>160</v>
      </c>
      <c r="G82" s="44" t="s">
        <v>160</v>
      </c>
      <c r="H82" s="44">
        <v>200</v>
      </c>
      <c r="I82" s="44">
        <v>2</v>
      </c>
      <c r="J82" s="44">
        <v>8</v>
      </c>
      <c r="K82" s="44" t="s">
        <v>161</v>
      </c>
      <c r="L82" s="44" t="s">
        <v>162</v>
      </c>
      <c r="M82" s="44" t="s">
        <v>162</v>
      </c>
      <c r="N82" s="44" t="s">
        <v>162</v>
      </c>
      <c r="O82" s="44" t="s">
        <v>162</v>
      </c>
      <c r="P82" s="47">
        <v>3</v>
      </c>
      <c r="Q82" s="48">
        <v>21.88</v>
      </c>
      <c r="R82" s="54" t="str">
        <f>_xlfn.XLOOKUP(Table4[[#This Row],[ref_id]],$AB$5:$AB$182,$AC$5:$AC$182)</f>
        <v>C</v>
      </c>
      <c r="AB82" s="56" t="s">
        <v>370</v>
      </c>
      <c r="AC82" s="56" t="s">
        <v>193</v>
      </c>
    </row>
    <row r="83" spans="1:29" ht="15.5" customHeight="1" x14ac:dyDescent="0.35">
      <c r="A83" s="42" t="s">
        <v>63</v>
      </c>
      <c r="B83" s="42" t="s">
        <v>371</v>
      </c>
      <c r="C83" s="42">
        <v>4</v>
      </c>
      <c r="D83" s="43">
        <v>1</v>
      </c>
      <c r="E83" s="40" t="s">
        <v>289</v>
      </c>
      <c r="F83" s="42" t="s">
        <v>160</v>
      </c>
      <c r="G83" s="44" t="s">
        <v>160</v>
      </c>
      <c r="H83" s="44">
        <v>200</v>
      </c>
      <c r="I83" s="44">
        <v>3</v>
      </c>
      <c r="J83" s="44">
        <v>8</v>
      </c>
      <c r="K83" s="44" t="s">
        <v>161</v>
      </c>
      <c r="L83" s="44" t="s">
        <v>162</v>
      </c>
      <c r="M83" s="44" t="s">
        <v>162</v>
      </c>
      <c r="N83" s="44" t="s">
        <v>162</v>
      </c>
      <c r="O83" s="44" t="s">
        <v>162</v>
      </c>
      <c r="P83" s="47">
        <v>6</v>
      </c>
      <c r="Q83" s="48">
        <v>40.64</v>
      </c>
      <c r="R83" s="54" t="str">
        <f>_xlfn.XLOOKUP(Table4[[#This Row],[ref_id]],$AB$5:$AB$182,$AC$5:$AC$182)</f>
        <v>B</v>
      </c>
      <c r="AB83" s="55" t="s">
        <v>303</v>
      </c>
      <c r="AC83" s="55" t="s">
        <v>193</v>
      </c>
    </row>
    <row r="84" spans="1:29" ht="15.5" customHeight="1" x14ac:dyDescent="0.35">
      <c r="A84" s="42" t="s">
        <v>309</v>
      </c>
      <c r="B84" s="42" t="s">
        <v>372</v>
      </c>
      <c r="C84" s="42">
        <v>4</v>
      </c>
      <c r="D84" s="43">
        <v>1</v>
      </c>
      <c r="E84" s="40" t="s">
        <v>299</v>
      </c>
      <c r="F84" s="42" t="s">
        <v>160</v>
      </c>
      <c r="G84" s="44" t="s">
        <v>160</v>
      </c>
      <c r="H84" s="44">
        <v>0</v>
      </c>
      <c r="I84" s="44">
        <v>7</v>
      </c>
      <c r="J84" s="44">
        <v>3</v>
      </c>
      <c r="K84" s="44" t="s">
        <v>161</v>
      </c>
      <c r="L84" s="44" t="s">
        <v>162</v>
      </c>
      <c r="M84" s="44" t="s">
        <v>162</v>
      </c>
      <c r="N84" s="44" t="s">
        <v>162</v>
      </c>
      <c r="O84" s="44" t="s">
        <v>162</v>
      </c>
      <c r="P84" s="47">
        <v>4.8</v>
      </c>
      <c r="Q84" s="48">
        <v>32.21</v>
      </c>
      <c r="R84" s="54" t="str">
        <f>_xlfn.XLOOKUP(Table4[[#This Row],[ref_id]],$AB$5:$AB$182,$AC$5:$AC$182)</f>
        <v>B</v>
      </c>
      <c r="AB84" s="56" t="s">
        <v>362</v>
      </c>
      <c r="AC84" s="56" t="s">
        <v>193</v>
      </c>
    </row>
    <row r="85" spans="1:29" ht="15.5" customHeight="1" x14ac:dyDescent="0.35">
      <c r="A85" s="42" t="s">
        <v>272</v>
      </c>
      <c r="B85" s="42" t="s">
        <v>373</v>
      </c>
      <c r="C85" s="42">
        <v>2</v>
      </c>
      <c r="D85" s="43">
        <v>1</v>
      </c>
      <c r="E85" s="40" t="s">
        <v>229</v>
      </c>
      <c r="F85" s="42" t="s">
        <v>160</v>
      </c>
      <c r="G85" s="44" t="s">
        <v>161</v>
      </c>
      <c r="H85" s="44" t="s">
        <v>162</v>
      </c>
      <c r="I85" s="44" t="s">
        <v>162</v>
      </c>
      <c r="J85" s="44" t="s">
        <v>162</v>
      </c>
      <c r="K85" s="44" t="s">
        <v>160</v>
      </c>
      <c r="L85" s="44">
        <v>200</v>
      </c>
      <c r="M85" s="44">
        <v>100</v>
      </c>
      <c r="N85" s="44">
        <v>4</v>
      </c>
      <c r="O85" s="44">
        <v>8</v>
      </c>
      <c r="P85" s="47">
        <v>3.4</v>
      </c>
      <c r="Q85" s="48">
        <v>19.8</v>
      </c>
      <c r="R85" s="54" t="str">
        <f>_xlfn.XLOOKUP(Table4[[#This Row],[ref_id]],$AB$5:$AB$182,$AC$5:$AC$182)</f>
        <v>B</v>
      </c>
      <c r="AB85" s="55" t="s">
        <v>79</v>
      </c>
      <c r="AC85" s="55" t="s">
        <v>193</v>
      </c>
    </row>
    <row r="86" spans="1:29" ht="15.5" customHeight="1" x14ac:dyDescent="0.35">
      <c r="A86" s="42" t="s">
        <v>50</v>
      </c>
      <c r="B86" s="42" t="s">
        <v>374</v>
      </c>
      <c r="C86" s="42">
        <v>2</v>
      </c>
      <c r="D86" s="43">
        <v>1</v>
      </c>
      <c r="E86" s="40" t="s">
        <v>229</v>
      </c>
      <c r="F86" s="42" t="s">
        <v>160</v>
      </c>
      <c r="G86" s="44" t="s">
        <v>160</v>
      </c>
      <c r="H86" s="44">
        <v>180</v>
      </c>
      <c r="I86" s="44">
        <v>3</v>
      </c>
      <c r="J86" s="44">
        <v>7</v>
      </c>
      <c r="K86" s="44" t="s">
        <v>161</v>
      </c>
      <c r="L86" s="44" t="s">
        <v>162</v>
      </c>
      <c r="M86" s="44" t="s">
        <v>162</v>
      </c>
      <c r="N86" s="44" t="s">
        <v>162</v>
      </c>
      <c r="O86" s="44" t="s">
        <v>162</v>
      </c>
      <c r="P86" s="47">
        <v>6.4</v>
      </c>
      <c r="Q86" s="48">
        <v>35.36</v>
      </c>
      <c r="R86" s="54" t="str">
        <f>_xlfn.XLOOKUP(Table4[[#This Row],[ref_id]],$AB$5:$AB$182,$AC$5:$AC$182)</f>
        <v>B</v>
      </c>
      <c r="AB86" s="56" t="s">
        <v>375</v>
      </c>
      <c r="AC86" s="56" t="s">
        <v>193</v>
      </c>
    </row>
    <row r="87" spans="1:29" ht="15.5" customHeight="1" x14ac:dyDescent="0.35">
      <c r="A87" s="42" t="s">
        <v>376</v>
      </c>
      <c r="B87" s="42" t="s">
        <v>377</v>
      </c>
      <c r="C87" s="42">
        <v>24</v>
      </c>
      <c r="D87" s="43">
        <v>1</v>
      </c>
      <c r="E87" s="40" t="s">
        <v>232</v>
      </c>
      <c r="F87" s="42" t="s">
        <v>160</v>
      </c>
      <c r="G87" s="44" t="s">
        <v>160</v>
      </c>
      <c r="H87" s="44">
        <v>1200</v>
      </c>
      <c r="I87" s="44">
        <v>8</v>
      </c>
      <c r="J87" s="44">
        <v>7</v>
      </c>
      <c r="K87" s="44" t="s">
        <v>161</v>
      </c>
      <c r="L87" s="44" t="s">
        <v>162</v>
      </c>
      <c r="M87" s="44" t="s">
        <v>162</v>
      </c>
      <c r="N87" s="44" t="s">
        <v>162</v>
      </c>
      <c r="O87" s="44" t="s">
        <v>162</v>
      </c>
      <c r="P87" s="47">
        <v>4.32</v>
      </c>
      <c r="Q87" s="48">
        <v>19.54</v>
      </c>
      <c r="R87" s="54" t="str">
        <f>_xlfn.XLOOKUP(Table4[[#This Row],[ref_id]],$AB$5:$AB$182,$AC$5:$AC$182)</f>
        <v>-</v>
      </c>
      <c r="AB87" s="55" t="s">
        <v>6</v>
      </c>
      <c r="AC87" s="55" t="s">
        <v>193</v>
      </c>
    </row>
    <row r="88" spans="1:29" ht="15.5" customHeight="1" x14ac:dyDescent="0.35">
      <c r="A88" s="42" t="s">
        <v>378</v>
      </c>
      <c r="B88" s="42" t="s">
        <v>379</v>
      </c>
      <c r="C88" s="42">
        <v>24</v>
      </c>
      <c r="D88" s="43">
        <v>1</v>
      </c>
      <c r="E88" s="40" t="s">
        <v>232</v>
      </c>
      <c r="F88" s="42" t="s">
        <v>160</v>
      </c>
      <c r="G88" s="44" t="s">
        <v>160</v>
      </c>
      <c r="H88" s="44">
        <v>1200</v>
      </c>
      <c r="I88" s="44">
        <v>8</v>
      </c>
      <c r="J88" s="44">
        <v>7</v>
      </c>
      <c r="K88" s="44" t="s">
        <v>161</v>
      </c>
      <c r="L88" s="44" t="s">
        <v>162</v>
      </c>
      <c r="M88" s="44" t="s">
        <v>162</v>
      </c>
      <c r="N88" s="44" t="s">
        <v>162</v>
      </c>
      <c r="O88" s="44" t="s">
        <v>162</v>
      </c>
      <c r="P88" s="47">
        <v>4.32</v>
      </c>
      <c r="Q88" s="48">
        <v>19.54</v>
      </c>
      <c r="R88" s="54" t="str">
        <f>_xlfn.XLOOKUP(Table4[[#This Row],[ref_id]],$AB$5:$AB$182,$AC$5:$AC$182)</f>
        <v>C</v>
      </c>
      <c r="AB88" s="56" t="s">
        <v>357</v>
      </c>
      <c r="AC88" s="56" t="s">
        <v>193</v>
      </c>
    </row>
    <row r="89" spans="1:29" ht="15.5" customHeight="1" x14ac:dyDescent="0.35">
      <c r="A89" s="42" t="s">
        <v>380</v>
      </c>
      <c r="B89" s="42" t="s">
        <v>381</v>
      </c>
      <c r="C89" s="42">
        <v>24</v>
      </c>
      <c r="D89" s="43">
        <v>1</v>
      </c>
      <c r="E89" s="40" t="s">
        <v>232</v>
      </c>
      <c r="F89" s="42" t="s">
        <v>160</v>
      </c>
      <c r="G89" s="44" t="s">
        <v>160</v>
      </c>
      <c r="H89" s="44">
        <v>1200</v>
      </c>
      <c r="I89" s="44">
        <v>8</v>
      </c>
      <c r="J89" s="44">
        <v>7</v>
      </c>
      <c r="K89" s="44" t="s">
        <v>161</v>
      </c>
      <c r="L89" s="44" t="s">
        <v>162</v>
      </c>
      <c r="M89" s="44" t="s">
        <v>162</v>
      </c>
      <c r="N89" s="44" t="s">
        <v>162</v>
      </c>
      <c r="O89" s="44" t="s">
        <v>162</v>
      </c>
      <c r="P89" s="47">
        <v>4.32</v>
      </c>
      <c r="Q89" s="48">
        <v>19.54</v>
      </c>
      <c r="R89" s="54" t="str">
        <f>_xlfn.XLOOKUP(Table4[[#This Row],[ref_id]],$AB$5:$AB$182,$AC$5:$AC$182)</f>
        <v>-</v>
      </c>
      <c r="AB89" s="55" t="s">
        <v>38</v>
      </c>
      <c r="AC89" s="55" t="s">
        <v>193</v>
      </c>
    </row>
    <row r="90" spans="1:29" ht="15.5" customHeight="1" x14ac:dyDescent="0.35">
      <c r="A90" s="42" t="s">
        <v>64</v>
      </c>
      <c r="B90" s="42" t="s">
        <v>382</v>
      </c>
      <c r="C90" s="42">
        <v>3</v>
      </c>
      <c r="D90" s="43">
        <v>1</v>
      </c>
      <c r="E90" s="40" t="s">
        <v>243</v>
      </c>
      <c r="F90" s="42" t="s">
        <v>160</v>
      </c>
      <c r="G90" s="44" t="s">
        <v>161</v>
      </c>
      <c r="H90" s="44" t="s">
        <v>162</v>
      </c>
      <c r="I90" s="44" t="s">
        <v>162</v>
      </c>
      <c r="J90" s="44" t="s">
        <v>162</v>
      </c>
      <c r="K90" s="44" t="s">
        <v>160</v>
      </c>
      <c r="L90" s="44">
        <v>125</v>
      </c>
      <c r="M90" s="44">
        <v>125</v>
      </c>
      <c r="N90" s="44">
        <v>4</v>
      </c>
      <c r="O90" s="44">
        <v>2</v>
      </c>
      <c r="P90" s="47">
        <v>4.5</v>
      </c>
      <c r="Q90" s="48">
        <v>30.94</v>
      </c>
      <c r="R90" s="54" t="str">
        <f>_xlfn.XLOOKUP(Table4[[#This Row],[ref_id]],$AB$5:$AB$182,$AC$5:$AC$182)</f>
        <v>B</v>
      </c>
      <c r="AB90" s="56" t="s">
        <v>383</v>
      </c>
      <c r="AC90" s="56" t="s">
        <v>193</v>
      </c>
    </row>
    <row r="91" spans="1:29" ht="15.5" customHeight="1" x14ac:dyDescent="0.35">
      <c r="A91" s="42" t="s">
        <v>11</v>
      </c>
      <c r="B91" s="42" t="s">
        <v>382</v>
      </c>
      <c r="C91" s="42">
        <v>3</v>
      </c>
      <c r="D91" s="43">
        <v>1</v>
      </c>
      <c r="E91" s="40" t="s">
        <v>243</v>
      </c>
      <c r="F91" s="42" t="s">
        <v>160</v>
      </c>
      <c r="G91" s="44" t="s">
        <v>161</v>
      </c>
      <c r="H91" s="44" t="s">
        <v>162</v>
      </c>
      <c r="I91" s="44" t="s">
        <v>162</v>
      </c>
      <c r="J91" s="44" t="s">
        <v>162</v>
      </c>
      <c r="K91" s="44" t="s">
        <v>160</v>
      </c>
      <c r="L91" s="44">
        <v>125</v>
      </c>
      <c r="M91" s="44">
        <v>125</v>
      </c>
      <c r="N91" s="44">
        <v>4</v>
      </c>
      <c r="O91" s="44">
        <v>2</v>
      </c>
      <c r="P91" s="47">
        <v>4.5</v>
      </c>
      <c r="Q91" s="48">
        <v>28.47</v>
      </c>
      <c r="R91" s="54" t="str">
        <f>_xlfn.XLOOKUP(Table4[[#This Row],[ref_id]],$AB$5:$AB$182,$AC$5:$AC$182)</f>
        <v>B</v>
      </c>
      <c r="AB91" s="55" t="s">
        <v>384</v>
      </c>
      <c r="AC91" s="55" t="s">
        <v>193</v>
      </c>
    </row>
    <row r="92" spans="1:29" ht="15.5" customHeight="1" x14ac:dyDescent="0.35">
      <c r="A92" s="42" t="s">
        <v>11</v>
      </c>
      <c r="B92" s="42" t="s">
        <v>385</v>
      </c>
      <c r="C92" s="42">
        <v>3</v>
      </c>
      <c r="D92" s="43">
        <v>1</v>
      </c>
      <c r="E92" s="40" t="s">
        <v>243</v>
      </c>
      <c r="F92" s="42" t="s">
        <v>160</v>
      </c>
      <c r="G92" s="44" t="s">
        <v>161</v>
      </c>
      <c r="H92" s="44" t="s">
        <v>162</v>
      </c>
      <c r="I92" s="44" t="s">
        <v>162</v>
      </c>
      <c r="J92" s="44" t="s">
        <v>162</v>
      </c>
      <c r="K92" s="44" t="s">
        <v>160</v>
      </c>
      <c r="L92" s="44">
        <v>125</v>
      </c>
      <c r="M92" s="44">
        <v>125</v>
      </c>
      <c r="N92" s="44">
        <v>4</v>
      </c>
      <c r="O92" s="44">
        <v>2</v>
      </c>
      <c r="P92" s="47">
        <v>4.5</v>
      </c>
      <c r="Q92" s="48">
        <v>28.47</v>
      </c>
      <c r="R92" s="54" t="str">
        <f>_xlfn.XLOOKUP(Table4[[#This Row],[ref_id]],$AB$5:$AB$182,$AC$5:$AC$182)</f>
        <v>B</v>
      </c>
      <c r="AB92" s="56" t="s">
        <v>10</v>
      </c>
      <c r="AC92" s="56" t="s">
        <v>193</v>
      </c>
    </row>
    <row r="93" spans="1:29" ht="15.5" customHeight="1" x14ac:dyDescent="0.35">
      <c r="A93" s="42" t="s">
        <v>240</v>
      </c>
      <c r="B93" s="42" t="s">
        <v>386</v>
      </c>
      <c r="C93" s="42">
        <v>3</v>
      </c>
      <c r="D93" s="43">
        <v>1</v>
      </c>
      <c r="E93" s="40" t="s">
        <v>243</v>
      </c>
      <c r="F93" s="42" t="s">
        <v>160</v>
      </c>
      <c r="G93" s="44" t="s">
        <v>161</v>
      </c>
      <c r="H93" s="44" t="s">
        <v>162</v>
      </c>
      <c r="I93" s="44" t="s">
        <v>162</v>
      </c>
      <c r="J93" s="44" t="s">
        <v>162</v>
      </c>
      <c r="K93" s="44" t="s">
        <v>160</v>
      </c>
      <c r="L93" s="44">
        <v>125</v>
      </c>
      <c r="M93" s="44">
        <v>125</v>
      </c>
      <c r="N93" s="44">
        <v>4</v>
      </c>
      <c r="O93" s="44">
        <v>2</v>
      </c>
      <c r="P93" s="47">
        <v>4.5</v>
      </c>
      <c r="Q93" s="48">
        <v>30.94</v>
      </c>
      <c r="R93" s="54" t="str">
        <f>_xlfn.XLOOKUP(Table4[[#This Row],[ref_id]],$AB$5:$AB$182,$AC$5:$AC$182)</f>
        <v>B</v>
      </c>
      <c r="AB93" s="55" t="s">
        <v>8</v>
      </c>
      <c r="AC93" s="55" t="s">
        <v>193</v>
      </c>
    </row>
    <row r="94" spans="1:29" ht="15.5" customHeight="1" x14ac:dyDescent="0.35">
      <c r="A94" s="42" t="s">
        <v>35</v>
      </c>
      <c r="B94" s="42" t="s">
        <v>387</v>
      </c>
      <c r="C94" s="42">
        <v>2</v>
      </c>
      <c r="D94" s="43">
        <v>0</v>
      </c>
      <c r="E94" s="40" t="s">
        <v>308</v>
      </c>
      <c r="F94" s="42" t="s">
        <v>160</v>
      </c>
      <c r="G94" s="44" t="s">
        <v>161</v>
      </c>
      <c r="H94" s="44" t="s">
        <v>162</v>
      </c>
      <c r="I94" s="44" t="s">
        <v>162</v>
      </c>
      <c r="J94" s="44" t="s">
        <v>162</v>
      </c>
      <c r="K94" s="44" t="s">
        <v>160</v>
      </c>
      <c r="L94" s="44">
        <v>126</v>
      </c>
      <c r="M94" s="44">
        <v>200</v>
      </c>
      <c r="N94" s="44">
        <v>3</v>
      </c>
      <c r="O94" s="44">
        <v>1</v>
      </c>
      <c r="P94" s="47">
        <v>2</v>
      </c>
      <c r="Q94" s="48">
        <v>22.97</v>
      </c>
      <c r="R94" s="54" t="str">
        <f>_xlfn.XLOOKUP(Table4[[#This Row],[ref_id]],$AB$5:$AB$182,$AC$5:$AC$182)</f>
        <v>A</v>
      </c>
      <c r="AB94" s="56" t="s">
        <v>388</v>
      </c>
      <c r="AC94" s="56" t="s">
        <v>193</v>
      </c>
    </row>
    <row r="95" spans="1:29" ht="15.5" customHeight="1" x14ac:dyDescent="0.35">
      <c r="A95" s="42" t="s">
        <v>384</v>
      </c>
      <c r="B95" s="42" t="s">
        <v>389</v>
      </c>
      <c r="C95" s="42">
        <v>2</v>
      </c>
      <c r="D95" s="43">
        <v>1</v>
      </c>
      <c r="E95" s="40" t="s">
        <v>308</v>
      </c>
      <c r="F95" s="42" t="s">
        <v>160</v>
      </c>
      <c r="G95" s="44" t="s">
        <v>161</v>
      </c>
      <c r="H95" s="44" t="s">
        <v>162</v>
      </c>
      <c r="I95" s="44" t="s">
        <v>162</v>
      </c>
      <c r="J95" s="44" t="s">
        <v>162</v>
      </c>
      <c r="K95" s="44" t="s">
        <v>160</v>
      </c>
      <c r="L95" s="44">
        <v>126</v>
      </c>
      <c r="M95" s="44">
        <v>200</v>
      </c>
      <c r="N95" s="44">
        <v>3</v>
      </c>
      <c r="O95" s="44">
        <v>1</v>
      </c>
      <c r="P95" s="47">
        <v>2</v>
      </c>
      <c r="Q95" s="48">
        <v>16.88</v>
      </c>
      <c r="R95" s="54" t="str">
        <f>_xlfn.XLOOKUP(Table4[[#This Row],[ref_id]],$AB$5:$AB$182,$AC$5:$AC$182)</f>
        <v>C</v>
      </c>
      <c r="AB95" s="55" t="s">
        <v>39</v>
      </c>
      <c r="AC95" s="55" t="s">
        <v>193</v>
      </c>
    </row>
    <row r="96" spans="1:29" ht="15.5" customHeight="1" x14ac:dyDescent="0.35">
      <c r="A96" s="42" t="s">
        <v>36</v>
      </c>
      <c r="B96" s="42" t="s">
        <v>390</v>
      </c>
      <c r="C96" s="42">
        <v>4</v>
      </c>
      <c r="D96" s="43">
        <v>1</v>
      </c>
      <c r="E96" s="40" t="s">
        <v>249</v>
      </c>
      <c r="F96" s="42" t="s">
        <v>160</v>
      </c>
      <c r="G96" s="44" t="s">
        <v>160</v>
      </c>
      <c r="H96" s="44">
        <v>126</v>
      </c>
      <c r="I96" s="44">
        <v>3</v>
      </c>
      <c r="J96" s="44">
        <v>7</v>
      </c>
      <c r="K96" s="44" t="s">
        <v>161</v>
      </c>
      <c r="L96" s="44" t="s">
        <v>162</v>
      </c>
      <c r="M96" s="44" t="s">
        <v>162</v>
      </c>
      <c r="N96" s="44" t="s">
        <v>162</v>
      </c>
      <c r="O96" s="44"/>
      <c r="P96" s="47">
        <v>6</v>
      </c>
      <c r="Q96" s="48">
        <v>32.17</v>
      </c>
      <c r="R96" s="54" t="str">
        <f>_xlfn.XLOOKUP(Table4[[#This Row],[ref_id]],$AB$5:$AB$182,$AC$5:$AC$182)</f>
        <v>B</v>
      </c>
      <c r="AB96" s="56" t="s">
        <v>391</v>
      </c>
      <c r="AC96" s="56" t="s">
        <v>193</v>
      </c>
    </row>
    <row r="97" spans="1:29" ht="15.5" customHeight="1" x14ac:dyDescent="0.35">
      <c r="A97" s="42" t="s">
        <v>37</v>
      </c>
      <c r="B97" s="42" t="s">
        <v>392</v>
      </c>
      <c r="C97" s="42">
        <v>2</v>
      </c>
      <c r="D97" s="43">
        <v>1</v>
      </c>
      <c r="E97" s="40" t="s">
        <v>268</v>
      </c>
      <c r="F97" s="42" t="s">
        <v>160</v>
      </c>
      <c r="G97" s="44" t="s">
        <v>160</v>
      </c>
      <c r="H97" s="44">
        <v>126</v>
      </c>
      <c r="I97" s="44">
        <v>3</v>
      </c>
      <c r="J97" s="44">
        <v>1</v>
      </c>
      <c r="K97" s="44" t="s">
        <v>161</v>
      </c>
      <c r="L97" s="44" t="s">
        <v>162</v>
      </c>
      <c r="M97" s="44" t="s">
        <v>162</v>
      </c>
      <c r="N97" s="44" t="s">
        <v>162</v>
      </c>
      <c r="O97" s="44"/>
      <c r="P97" s="47">
        <v>5.2</v>
      </c>
      <c r="Q97" s="48">
        <v>23.43</v>
      </c>
      <c r="R97" s="54" t="str">
        <f>_xlfn.XLOOKUP(Table4[[#This Row],[ref_id]],$AB$5:$AB$182,$AC$5:$AC$182)</f>
        <v>C</v>
      </c>
      <c r="AB97" s="55" t="s">
        <v>393</v>
      </c>
      <c r="AC97" s="55" t="s">
        <v>193</v>
      </c>
    </row>
    <row r="98" spans="1:29" ht="15.5" customHeight="1" x14ac:dyDescent="0.35">
      <c r="A98" s="42" t="s">
        <v>38</v>
      </c>
      <c r="B98" s="42" t="s">
        <v>394</v>
      </c>
      <c r="C98" s="42">
        <v>32</v>
      </c>
      <c r="D98" s="43">
        <v>1</v>
      </c>
      <c r="E98" s="40" t="s">
        <v>239</v>
      </c>
      <c r="F98" s="42" t="s">
        <v>160</v>
      </c>
      <c r="G98" s="44" t="s">
        <v>161</v>
      </c>
      <c r="H98" s="44" t="s">
        <v>162</v>
      </c>
      <c r="I98" s="44" t="s">
        <v>162</v>
      </c>
      <c r="J98" s="44" t="s">
        <v>162</v>
      </c>
      <c r="K98" s="44" t="s">
        <v>160</v>
      </c>
      <c r="L98" s="44">
        <v>1125</v>
      </c>
      <c r="M98" s="44">
        <v>1400</v>
      </c>
      <c r="N98" s="44">
        <v>3</v>
      </c>
      <c r="O98" s="44">
        <v>3</v>
      </c>
      <c r="P98" s="47">
        <v>2.4</v>
      </c>
      <c r="Q98" s="48">
        <v>15.16</v>
      </c>
      <c r="R98" s="54" t="str">
        <f>_xlfn.XLOOKUP(Table4[[#This Row],[ref_id]],$AB$5:$AB$182,$AC$5:$AC$182)</f>
        <v>C</v>
      </c>
      <c r="AB98" s="56" t="s">
        <v>31</v>
      </c>
      <c r="AC98" s="56" t="s">
        <v>193</v>
      </c>
    </row>
    <row r="99" spans="1:29" ht="15.5" customHeight="1" x14ac:dyDescent="0.35">
      <c r="A99" s="42" t="s">
        <v>51</v>
      </c>
      <c r="B99" s="42" t="s">
        <v>395</v>
      </c>
      <c r="C99" s="42">
        <v>48</v>
      </c>
      <c r="D99" s="43">
        <v>1</v>
      </c>
      <c r="E99" s="40" t="s">
        <v>282</v>
      </c>
      <c r="F99" s="42" t="s">
        <v>160</v>
      </c>
      <c r="G99" s="44" t="s">
        <v>161</v>
      </c>
      <c r="H99" s="44" t="s">
        <v>162</v>
      </c>
      <c r="I99" s="44" t="s">
        <v>162</v>
      </c>
      <c r="J99" s="44" t="s">
        <v>162</v>
      </c>
      <c r="K99" s="44" t="s">
        <v>160</v>
      </c>
      <c r="L99" s="44">
        <v>3000</v>
      </c>
      <c r="M99" s="44">
        <v>3000</v>
      </c>
      <c r="N99" s="44">
        <v>3</v>
      </c>
      <c r="O99" s="44">
        <v>4</v>
      </c>
      <c r="P99" s="47">
        <v>3.84</v>
      </c>
      <c r="Q99" s="48">
        <v>17.22</v>
      </c>
      <c r="R99" s="54" t="str">
        <f>_xlfn.XLOOKUP(Table4[[#This Row],[ref_id]],$AB$5:$AB$182,$AC$5:$AC$182)</f>
        <v>C</v>
      </c>
      <c r="AB99" s="55" t="s">
        <v>14</v>
      </c>
      <c r="AC99" s="55" t="s">
        <v>193</v>
      </c>
    </row>
    <row r="100" spans="1:29" ht="15.5" customHeight="1" x14ac:dyDescent="0.35">
      <c r="A100" s="42" t="s">
        <v>54</v>
      </c>
      <c r="B100" s="42" t="s">
        <v>396</v>
      </c>
      <c r="C100" s="42">
        <v>34</v>
      </c>
      <c r="D100" s="43">
        <v>0</v>
      </c>
      <c r="E100" s="40" t="s">
        <v>221</v>
      </c>
      <c r="F100" s="42" t="s">
        <v>160</v>
      </c>
      <c r="G100" s="44" t="s">
        <v>161</v>
      </c>
      <c r="H100" s="44" t="s">
        <v>162</v>
      </c>
      <c r="I100" s="44" t="s">
        <v>162</v>
      </c>
      <c r="J100" s="44" t="s">
        <v>162</v>
      </c>
      <c r="K100" s="44" t="s">
        <v>160</v>
      </c>
      <c r="L100" s="44">
        <v>2304</v>
      </c>
      <c r="M100" s="44">
        <v>2304</v>
      </c>
      <c r="N100" s="44">
        <v>3</v>
      </c>
      <c r="O100" s="44">
        <v>2</v>
      </c>
      <c r="P100" s="47">
        <v>2.72</v>
      </c>
      <c r="Q100" s="48">
        <v>13.65</v>
      </c>
      <c r="R100" s="54" t="str">
        <f>_xlfn.XLOOKUP(Table4[[#This Row],[ref_id]],$AB$5:$AB$182,$AC$5:$AC$182)</f>
        <v>B</v>
      </c>
      <c r="AB100" s="56" t="s">
        <v>65</v>
      </c>
      <c r="AC100" s="56" t="s">
        <v>193</v>
      </c>
    </row>
    <row r="101" spans="1:29" ht="15.5" customHeight="1" x14ac:dyDescent="0.35">
      <c r="A101" s="42" t="s">
        <v>397</v>
      </c>
      <c r="B101" s="42" t="s">
        <v>398</v>
      </c>
      <c r="C101" s="42">
        <v>38</v>
      </c>
      <c r="D101" s="43">
        <v>0</v>
      </c>
      <c r="E101" s="40" t="s">
        <v>221</v>
      </c>
      <c r="F101" s="42" t="s">
        <v>160</v>
      </c>
      <c r="G101" s="44" t="s">
        <v>161</v>
      </c>
      <c r="H101" s="44" t="s">
        <v>162</v>
      </c>
      <c r="I101" s="44" t="s">
        <v>162</v>
      </c>
      <c r="J101" s="44" t="s">
        <v>162</v>
      </c>
      <c r="K101" s="44" t="s">
        <v>160</v>
      </c>
      <c r="L101" s="44">
        <v>2304</v>
      </c>
      <c r="M101" s="44">
        <v>2304</v>
      </c>
      <c r="N101" s="44">
        <v>3</v>
      </c>
      <c r="O101" s="44">
        <v>2</v>
      </c>
      <c r="P101" s="47">
        <v>3.04</v>
      </c>
      <c r="Q101" s="48">
        <v>13.65</v>
      </c>
      <c r="R101" s="54" t="s">
        <v>193</v>
      </c>
      <c r="AB101" s="55" t="s">
        <v>399</v>
      </c>
      <c r="AC101" s="55" t="s">
        <v>193</v>
      </c>
    </row>
    <row r="102" spans="1:29" ht="15.5" customHeight="1" x14ac:dyDescent="0.35">
      <c r="A102" s="42" t="s">
        <v>400</v>
      </c>
      <c r="B102" s="42" t="s">
        <v>401</v>
      </c>
      <c r="C102" s="42">
        <v>2</v>
      </c>
      <c r="D102" s="43">
        <v>1</v>
      </c>
      <c r="E102" s="40" t="s">
        <v>210</v>
      </c>
      <c r="F102" s="42" t="s">
        <v>160</v>
      </c>
      <c r="G102" s="44" t="s">
        <v>160</v>
      </c>
      <c r="H102" s="44">
        <v>240</v>
      </c>
      <c r="I102" s="44">
        <v>4</v>
      </c>
      <c r="J102" s="44">
        <v>5</v>
      </c>
      <c r="K102" s="44" t="s">
        <v>161</v>
      </c>
      <c r="L102" s="44" t="s">
        <v>162</v>
      </c>
      <c r="M102" s="44" t="s">
        <v>162</v>
      </c>
      <c r="N102" s="44" t="s">
        <v>162</v>
      </c>
      <c r="O102" s="44"/>
      <c r="P102" s="47">
        <v>3</v>
      </c>
      <c r="Q102" s="48">
        <v>19.68</v>
      </c>
      <c r="R102" s="54" t="s">
        <v>193</v>
      </c>
      <c r="AB102" s="56" t="s">
        <v>402</v>
      </c>
      <c r="AC102" s="56" t="s">
        <v>193</v>
      </c>
    </row>
    <row r="103" spans="1:29" ht="15.5" customHeight="1" x14ac:dyDescent="0.35">
      <c r="A103" s="42" t="s">
        <v>403</v>
      </c>
      <c r="B103" s="42" t="s">
        <v>404</v>
      </c>
      <c r="C103" s="42">
        <v>3</v>
      </c>
      <c r="D103" s="43">
        <v>1</v>
      </c>
      <c r="E103" s="40" t="s">
        <v>210</v>
      </c>
      <c r="F103" s="42" t="s">
        <v>160</v>
      </c>
      <c r="G103" s="44" t="s">
        <v>160</v>
      </c>
      <c r="H103" s="44">
        <v>240</v>
      </c>
      <c r="I103" s="44">
        <v>4</v>
      </c>
      <c r="J103" s="44">
        <v>5</v>
      </c>
      <c r="K103" s="44" t="s">
        <v>161</v>
      </c>
      <c r="L103" s="44" t="s">
        <v>162</v>
      </c>
      <c r="M103" s="44" t="s">
        <v>162</v>
      </c>
      <c r="N103" s="44" t="s">
        <v>162</v>
      </c>
      <c r="O103" s="44"/>
      <c r="P103" s="47">
        <v>4.5</v>
      </c>
      <c r="Q103" s="48">
        <v>30.68</v>
      </c>
      <c r="R103" s="54" t="str">
        <f>_xlfn.XLOOKUP(Table4[[#This Row],[ref_id]],$AB$5:$AB$182,$AC$5:$AC$182)</f>
        <v>C</v>
      </c>
      <c r="AB103" s="55" t="s">
        <v>23</v>
      </c>
      <c r="AC103" s="55" t="s">
        <v>193</v>
      </c>
    </row>
    <row r="104" spans="1:29" ht="15.5" customHeight="1" x14ac:dyDescent="0.35">
      <c r="A104" s="42" t="s">
        <v>286</v>
      </c>
      <c r="B104" s="42" t="s">
        <v>405</v>
      </c>
      <c r="C104" s="42">
        <v>2</v>
      </c>
      <c r="D104" s="43">
        <v>1</v>
      </c>
      <c r="E104" s="40" t="s">
        <v>212</v>
      </c>
      <c r="F104" s="42" t="s">
        <v>160</v>
      </c>
      <c r="G104" s="44" t="s">
        <v>160</v>
      </c>
      <c r="H104" s="44">
        <v>240</v>
      </c>
      <c r="I104" s="44">
        <v>4</v>
      </c>
      <c r="J104" s="44">
        <v>3</v>
      </c>
      <c r="K104" s="44" t="s">
        <v>161</v>
      </c>
      <c r="L104" s="44" t="s">
        <v>162</v>
      </c>
      <c r="M104" s="44" t="s">
        <v>162</v>
      </c>
      <c r="N104" s="44" t="s">
        <v>162</v>
      </c>
      <c r="O104" s="44"/>
      <c r="P104" s="47">
        <v>2.2000000000000002</v>
      </c>
      <c r="Q104" s="48">
        <v>18.72</v>
      </c>
      <c r="R104" s="54" t="str">
        <f>_xlfn.XLOOKUP(Table4[[#This Row],[ref_id]],$AB$5:$AB$182,$AC$5:$AC$182)</f>
        <v>B</v>
      </c>
      <c r="AB104" s="56" t="s">
        <v>74</v>
      </c>
      <c r="AC104" s="56" t="s">
        <v>193</v>
      </c>
    </row>
    <row r="105" spans="1:29" ht="15.5" customHeight="1" x14ac:dyDescent="0.35">
      <c r="A105" s="42" t="s">
        <v>406</v>
      </c>
      <c r="B105" s="42" t="s">
        <v>407</v>
      </c>
      <c r="C105" s="42">
        <v>200</v>
      </c>
      <c r="D105" s="43">
        <v>1</v>
      </c>
      <c r="E105" s="40" t="s">
        <v>239</v>
      </c>
      <c r="F105" s="42" t="s">
        <v>160</v>
      </c>
      <c r="G105" s="44" t="s">
        <v>161</v>
      </c>
      <c r="H105" s="44" t="s">
        <v>162</v>
      </c>
      <c r="I105" s="44" t="s">
        <v>162</v>
      </c>
      <c r="J105" s="44" t="s">
        <v>162</v>
      </c>
      <c r="K105" s="44" t="s">
        <v>160</v>
      </c>
      <c r="L105" s="44">
        <v>1125</v>
      </c>
      <c r="M105" s="44">
        <v>1125</v>
      </c>
      <c r="N105" s="44">
        <v>2</v>
      </c>
      <c r="O105" s="44">
        <v>1</v>
      </c>
      <c r="P105" s="47">
        <v>2.8</v>
      </c>
      <c r="Q105" s="48">
        <v>37.619999999999997</v>
      </c>
      <c r="R105" s="54" t="str">
        <f>_xlfn.XLOOKUP(Table4[[#This Row],[ref_id]],$AB$5:$AB$182,$AC$5:$AC$182)</f>
        <v>C</v>
      </c>
      <c r="AB105" s="55" t="s">
        <v>313</v>
      </c>
      <c r="AC105" s="55" t="s">
        <v>193</v>
      </c>
    </row>
    <row r="106" spans="1:29" ht="15.5" customHeight="1" x14ac:dyDescent="0.35">
      <c r="A106" s="42" t="s">
        <v>408</v>
      </c>
      <c r="B106" s="42" t="s">
        <v>409</v>
      </c>
      <c r="C106" s="42">
        <v>200</v>
      </c>
      <c r="D106" s="43">
        <v>1</v>
      </c>
      <c r="E106" s="40" t="s">
        <v>239</v>
      </c>
      <c r="F106" s="42" t="s">
        <v>160</v>
      </c>
      <c r="G106" s="44" t="s">
        <v>161</v>
      </c>
      <c r="H106" s="44" t="s">
        <v>162</v>
      </c>
      <c r="I106" s="44" t="s">
        <v>162</v>
      </c>
      <c r="J106" s="44" t="s">
        <v>162</v>
      </c>
      <c r="K106" s="44" t="s">
        <v>160</v>
      </c>
      <c r="L106" s="44">
        <v>1125</v>
      </c>
      <c r="M106" s="44">
        <v>1125</v>
      </c>
      <c r="N106" s="44">
        <v>2</v>
      </c>
      <c r="O106" s="44">
        <v>1</v>
      </c>
      <c r="P106" s="47">
        <v>2.8</v>
      </c>
      <c r="Q106" s="48">
        <v>37.619999999999997</v>
      </c>
      <c r="R106" s="54" t="str">
        <f>_xlfn.XLOOKUP(Table4[[#This Row],[ref_id]],$AB$5:$AB$182,$AC$5:$AC$182)</f>
        <v>C</v>
      </c>
      <c r="AB106" s="56" t="s">
        <v>18</v>
      </c>
      <c r="AC106" s="56" t="s">
        <v>193</v>
      </c>
    </row>
    <row r="107" spans="1:29" ht="15.5" customHeight="1" x14ac:dyDescent="0.35">
      <c r="A107" s="42" t="s">
        <v>71</v>
      </c>
      <c r="B107" s="42" t="s">
        <v>410</v>
      </c>
      <c r="C107" s="42">
        <v>3</v>
      </c>
      <c r="D107" s="43">
        <v>1</v>
      </c>
      <c r="E107" s="40" t="s">
        <v>210</v>
      </c>
      <c r="F107" s="42" t="s">
        <v>160</v>
      </c>
      <c r="G107" s="44" t="s">
        <v>161</v>
      </c>
      <c r="H107" s="44" t="s">
        <v>162</v>
      </c>
      <c r="I107" s="44" t="s">
        <v>162</v>
      </c>
      <c r="J107" s="44" t="s">
        <v>162</v>
      </c>
      <c r="K107" s="44" t="s">
        <v>160</v>
      </c>
      <c r="L107" s="44">
        <v>220</v>
      </c>
      <c r="M107" s="44">
        <v>0</v>
      </c>
      <c r="N107" s="44">
        <v>4</v>
      </c>
      <c r="O107" s="44">
        <v>2</v>
      </c>
      <c r="P107" s="47">
        <v>4.2</v>
      </c>
      <c r="Q107" s="48">
        <v>30.98</v>
      </c>
      <c r="R107" s="54" t="str">
        <f>_xlfn.XLOOKUP(Table4[[#This Row],[ref_id]],$AB$5:$AB$182,$AC$5:$AC$182)</f>
        <v>B</v>
      </c>
      <c r="AB107" s="55" t="s">
        <v>411</v>
      </c>
      <c r="AC107" s="55" t="s">
        <v>193</v>
      </c>
    </row>
    <row r="108" spans="1:29" ht="15.5" customHeight="1" x14ac:dyDescent="0.35">
      <c r="A108" s="42" t="s">
        <v>12</v>
      </c>
      <c r="B108" s="42" t="s">
        <v>412</v>
      </c>
      <c r="C108" s="42">
        <v>3</v>
      </c>
      <c r="D108" s="43">
        <v>1</v>
      </c>
      <c r="E108" s="40" t="s">
        <v>210</v>
      </c>
      <c r="F108" s="42" t="s">
        <v>160</v>
      </c>
      <c r="G108" s="44" t="s">
        <v>161</v>
      </c>
      <c r="H108" s="44" t="s">
        <v>162</v>
      </c>
      <c r="I108" s="44" t="s">
        <v>162</v>
      </c>
      <c r="J108" s="44" t="s">
        <v>162</v>
      </c>
      <c r="K108" s="44" t="s">
        <v>160</v>
      </c>
      <c r="L108" s="44">
        <v>220</v>
      </c>
      <c r="M108" s="44">
        <v>0</v>
      </c>
      <c r="N108" s="44">
        <v>4</v>
      </c>
      <c r="O108" s="44">
        <v>2</v>
      </c>
      <c r="P108" s="47">
        <v>4.2</v>
      </c>
      <c r="Q108" s="48">
        <v>28.81</v>
      </c>
      <c r="R108" s="54" t="str">
        <f>_xlfn.XLOOKUP(Table4[[#This Row],[ref_id]],$AB$5:$AB$182,$AC$5:$AC$182)</f>
        <v>B</v>
      </c>
      <c r="AB108" s="56" t="s">
        <v>413</v>
      </c>
      <c r="AC108" s="56" t="s">
        <v>193</v>
      </c>
    </row>
    <row r="109" spans="1:29" ht="15.5" customHeight="1" x14ac:dyDescent="0.35">
      <c r="A109" s="42" t="s">
        <v>414</v>
      </c>
      <c r="B109" s="42" t="s">
        <v>415</v>
      </c>
      <c r="C109" s="42">
        <v>4</v>
      </c>
      <c r="D109" s="43">
        <v>0</v>
      </c>
      <c r="E109" s="40" t="s">
        <v>235</v>
      </c>
      <c r="F109" s="42" t="s">
        <v>160</v>
      </c>
      <c r="G109" s="44" t="s">
        <v>160</v>
      </c>
      <c r="H109" s="44">
        <v>250</v>
      </c>
      <c r="I109" s="44">
        <v>4</v>
      </c>
      <c r="J109" s="44">
        <v>5</v>
      </c>
      <c r="K109" s="44" t="s">
        <v>161</v>
      </c>
      <c r="L109" s="44" t="s">
        <v>162</v>
      </c>
      <c r="M109" s="44" t="s">
        <v>162</v>
      </c>
      <c r="N109" s="44" t="s">
        <v>162</v>
      </c>
      <c r="O109" s="44" t="s">
        <v>162</v>
      </c>
      <c r="P109" s="47">
        <v>2.6</v>
      </c>
      <c r="Q109" s="48">
        <v>15.81</v>
      </c>
      <c r="R109" s="54" t="str">
        <f>_xlfn.XLOOKUP(Table4[[#This Row],[ref_id]],$AB$5:$AB$182,$AC$5:$AC$182)</f>
        <v>C</v>
      </c>
      <c r="AB109" s="55" t="s">
        <v>352</v>
      </c>
      <c r="AC109" s="55" t="s">
        <v>193</v>
      </c>
    </row>
    <row r="110" spans="1:29" ht="15.5" customHeight="1" x14ac:dyDescent="0.35">
      <c r="A110" s="42" t="s">
        <v>416</v>
      </c>
      <c r="B110" s="42" t="s">
        <v>417</v>
      </c>
      <c r="C110" s="42">
        <v>4</v>
      </c>
      <c r="D110" s="43">
        <v>1</v>
      </c>
      <c r="E110" s="40" t="s">
        <v>260</v>
      </c>
      <c r="F110" s="42" t="s">
        <v>160</v>
      </c>
      <c r="G110" s="44" t="s">
        <v>160</v>
      </c>
      <c r="H110" s="44">
        <v>250</v>
      </c>
      <c r="I110" s="44">
        <v>4</v>
      </c>
      <c r="J110" s="44">
        <v>5</v>
      </c>
      <c r="K110" s="44" t="s">
        <v>161</v>
      </c>
      <c r="L110" s="44" t="s">
        <v>162</v>
      </c>
      <c r="M110" s="44" t="s">
        <v>162</v>
      </c>
      <c r="N110" s="44" t="s">
        <v>162</v>
      </c>
      <c r="O110" s="44" t="s">
        <v>162</v>
      </c>
      <c r="P110" s="47">
        <v>6</v>
      </c>
      <c r="Q110" s="48">
        <v>37.94</v>
      </c>
      <c r="R110" s="54" t="str">
        <f>_xlfn.XLOOKUP(Table4[[#This Row],[ref_id]],$AB$5:$AB$182,$AC$5:$AC$182)</f>
        <v>C</v>
      </c>
      <c r="AB110" s="56" t="s">
        <v>13</v>
      </c>
      <c r="AC110" s="56" t="s">
        <v>193</v>
      </c>
    </row>
    <row r="111" spans="1:29" ht="15.5" customHeight="1" x14ac:dyDescent="0.35">
      <c r="A111" s="42" t="s">
        <v>76</v>
      </c>
      <c r="B111" s="42" t="s">
        <v>418</v>
      </c>
      <c r="C111" s="42">
        <v>1</v>
      </c>
      <c r="D111" s="43">
        <v>1</v>
      </c>
      <c r="E111" s="40" t="s">
        <v>260</v>
      </c>
      <c r="F111" s="42" t="s">
        <v>160</v>
      </c>
      <c r="G111" s="44" t="s">
        <v>160</v>
      </c>
      <c r="H111" s="44">
        <v>250</v>
      </c>
      <c r="I111" s="44">
        <v>5</v>
      </c>
      <c r="J111" s="44">
        <v>8</v>
      </c>
      <c r="K111" s="44" t="s">
        <v>161</v>
      </c>
      <c r="L111" s="44" t="s">
        <v>162</v>
      </c>
      <c r="M111" s="44" t="s">
        <v>162</v>
      </c>
      <c r="N111" s="44" t="s">
        <v>162</v>
      </c>
      <c r="O111" s="44" t="s">
        <v>162</v>
      </c>
      <c r="P111" s="47">
        <v>1.5</v>
      </c>
      <c r="Q111" s="48">
        <v>8.8000000000000007</v>
      </c>
      <c r="R111" s="54" t="str">
        <f>_xlfn.XLOOKUP(Table4[[#This Row],[ref_id]],$AB$5:$AB$182,$AC$5:$AC$182)</f>
        <v>A</v>
      </c>
      <c r="AB111" s="55" t="s">
        <v>310</v>
      </c>
      <c r="AC111" s="55" t="s">
        <v>193</v>
      </c>
    </row>
    <row r="112" spans="1:29" ht="15.5" customHeight="1" x14ac:dyDescent="0.35">
      <c r="A112" s="42" t="s">
        <v>77</v>
      </c>
      <c r="B112" s="42" t="s">
        <v>419</v>
      </c>
      <c r="C112" s="42">
        <v>1</v>
      </c>
      <c r="D112" s="43">
        <v>1</v>
      </c>
      <c r="E112" s="40" t="s">
        <v>260</v>
      </c>
      <c r="F112" s="42" t="s">
        <v>160</v>
      </c>
      <c r="G112" s="44" t="s">
        <v>160</v>
      </c>
      <c r="H112" s="44">
        <v>180</v>
      </c>
      <c r="I112" s="44">
        <v>8</v>
      </c>
      <c r="J112" s="44">
        <v>8</v>
      </c>
      <c r="K112" s="44" t="s">
        <v>161</v>
      </c>
      <c r="L112" s="44" t="s">
        <v>162</v>
      </c>
      <c r="M112" s="44" t="s">
        <v>162</v>
      </c>
      <c r="N112" s="44" t="s">
        <v>162</v>
      </c>
      <c r="O112" s="44" t="s">
        <v>162</v>
      </c>
      <c r="P112" s="47">
        <v>1.5</v>
      </c>
      <c r="Q112" s="48">
        <v>9.34</v>
      </c>
      <c r="R112" s="54" t="str">
        <f>_xlfn.XLOOKUP(Table4[[#This Row],[ref_id]],$AB$5:$AB$182,$AC$5:$AC$182)</f>
        <v>C</v>
      </c>
      <c r="AB112" s="56" t="s">
        <v>58</v>
      </c>
      <c r="AC112" s="56" t="s">
        <v>193</v>
      </c>
    </row>
    <row r="113" spans="1:29" ht="15.5" customHeight="1" x14ac:dyDescent="0.35">
      <c r="A113" s="42" t="s">
        <v>39</v>
      </c>
      <c r="B113" s="42" t="s">
        <v>420</v>
      </c>
      <c r="C113" s="42">
        <v>1</v>
      </c>
      <c r="D113" s="43">
        <v>1</v>
      </c>
      <c r="E113" s="40" t="s">
        <v>260</v>
      </c>
      <c r="F113" s="42" t="s">
        <v>160</v>
      </c>
      <c r="G113" s="44" t="s">
        <v>160</v>
      </c>
      <c r="H113" s="44">
        <v>250</v>
      </c>
      <c r="I113" s="44">
        <v>5</v>
      </c>
      <c r="J113" s="44">
        <v>8</v>
      </c>
      <c r="K113" s="44" t="s">
        <v>161</v>
      </c>
      <c r="L113" s="44" t="s">
        <v>162</v>
      </c>
      <c r="M113" s="44" t="s">
        <v>162</v>
      </c>
      <c r="N113" s="44" t="s">
        <v>162</v>
      </c>
      <c r="O113" s="44" t="s">
        <v>162</v>
      </c>
      <c r="P113" s="47">
        <v>1.45</v>
      </c>
      <c r="Q113" s="48">
        <v>8.98</v>
      </c>
      <c r="R113" s="54" t="str">
        <f>_xlfn.XLOOKUP(Table4[[#This Row],[ref_id]],$AB$5:$AB$182,$AC$5:$AC$182)</f>
        <v>C</v>
      </c>
      <c r="AB113" s="55" t="s">
        <v>56</v>
      </c>
      <c r="AC113" s="55" t="s">
        <v>193</v>
      </c>
    </row>
    <row r="114" spans="1:29" ht="15.5" customHeight="1" x14ac:dyDescent="0.35">
      <c r="A114" s="42" t="s">
        <v>66</v>
      </c>
      <c r="B114" s="42" t="s">
        <v>421</v>
      </c>
      <c r="C114" s="42">
        <v>4</v>
      </c>
      <c r="D114" s="43">
        <v>1</v>
      </c>
      <c r="E114" s="40" t="s">
        <v>260</v>
      </c>
      <c r="F114" s="42" t="s">
        <v>160</v>
      </c>
      <c r="G114" s="44" t="s">
        <v>160</v>
      </c>
      <c r="H114" s="44">
        <v>250</v>
      </c>
      <c r="I114" s="44">
        <v>5</v>
      </c>
      <c r="J114" s="44">
        <v>8</v>
      </c>
      <c r="K114" s="44" t="s">
        <v>161</v>
      </c>
      <c r="L114" s="44" t="s">
        <v>162</v>
      </c>
      <c r="M114" s="44" t="s">
        <v>162</v>
      </c>
      <c r="N114" s="44" t="s">
        <v>162</v>
      </c>
      <c r="O114" s="44" t="s">
        <v>162</v>
      </c>
      <c r="P114" s="47">
        <v>6</v>
      </c>
      <c r="Q114" s="48">
        <v>37.94</v>
      </c>
      <c r="R114" s="54" t="str">
        <f>_xlfn.XLOOKUP(Table4[[#This Row],[ref_id]],$AB$5:$AB$182,$AC$5:$AC$182)</f>
        <v>C</v>
      </c>
      <c r="AB114" s="56" t="s">
        <v>176</v>
      </c>
      <c r="AC114" s="56" t="s">
        <v>193</v>
      </c>
    </row>
    <row r="115" spans="1:29" ht="15.5" customHeight="1" x14ac:dyDescent="0.35">
      <c r="A115" s="42" t="s">
        <v>79</v>
      </c>
      <c r="B115" s="42" t="s">
        <v>422</v>
      </c>
      <c r="C115" s="42">
        <v>1</v>
      </c>
      <c r="D115" s="43">
        <v>1</v>
      </c>
      <c r="E115" s="40" t="s">
        <v>260</v>
      </c>
      <c r="F115" s="42" t="s">
        <v>160</v>
      </c>
      <c r="G115" s="44" t="s">
        <v>160</v>
      </c>
      <c r="H115" s="44">
        <v>250</v>
      </c>
      <c r="I115" s="44">
        <v>5</v>
      </c>
      <c r="J115" s="44">
        <v>8</v>
      </c>
      <c r="K115" s="44" t="s">
        <v>161</v>
      </c>
      <c r="L115" s="44" t="s">
        <v>162</v>
      </c>
      <c r="M115" s="44" t="s">
        <v>162</v>
      </c>
      <c r="N115" s="44" t="s">
        <v>162</v>
      </c>
      <c r="O115" s="44" t="s">
        <v>162</v>
      </c>
      <c r="P115" s="47">
        <v>1.5</v>
      </c>
      <c r="Q115" s="48">
        <v>8.9700000000000006</v>
      </c>
      <c r="R115" s="54" t="str">
        <f>_xlfn.XLOOKUP(Table4[[#This Row],[ref_id]],$AB$5:$AB$182,$AC$5:$AC$182)</f>
        <v>C</v>
      </c>
      <c r="AB115" s="55" t="s">
        <v>423</v>
      </c>
      <c r="AC115" s="55" t="s">
        <v>193</v>
      </c>
    </row>
    <row r="116" spans="1:29" ht="15.5" customHeight="1" x14ac:dyDescent="0.35">
      <c r="A116" s="42" t="s">
        <v>83</v>
      </c>
      <c r="B116" s="42" t="s">
        <v>424</v>
      </c>
      <c r="C116" s="42">
        <v>1</v>
      </c>
      <c r="D116" s="43">
        <v>1</v>
      </c>
      <c r="E116" s="40" t="s">
        <v>260</v>
      </c>
      <c r="F116" s="42" t="s">
        <v>160</v>
      </c>
      <c r="G116" s="44" t="s">
        <v>160</v>
      </c>
      <c r="H116" s="44">
        <v>180</v>
      </c>
      <c r="I116" s="44">
        <v>8</v>
      </c>
      <c r="J116" s="44">
        <v>8</v>
      </c>
      <c r="K116" s="44" t="s">
        <v>161</v>
      </c>
      <c r="L116" s="44" t="s">
        <v>162</v>
      </c>
      <c r="M116" s="44" t="s">
        <v>162</v>
      </c>
      <c r="N116" s="44" t="s">
        <v>162</v>
      </c>
      <c r="O116" s="44" t="s">
        <v>162</v>
      </c>
      <c r="P116" s="47">
        <v>1.5</v>
      </c>
      <c r="Q116" s="48">
        <v>10.06</v>
      </c>
      <c r="R116" s="54" t="str">
        <f>_xlfn.XLOOKUP(Table4[[#This Row],[ref_id]],$AB$5:$AB$182,$AC$5:$AC$182)</f>
        <v>C</v>
      </c>
      <c r="AB116" s="56" t="s">
        <v>26</v>
      </c>
      <c r="AC116" s="56" t="s">
        <v>193</v>
      </c>
    </row>
    <row r="117" spans="1:29" ht="15.5" customHeight="1" x14ac:dyDescent="0.35">
      <c r="A117" s="42" t="s">
        <v>423</v>
      </c>
      <c r="B117" s="42" t="s">
        <v>425</v>
      </c>
      <c r="C117" s="42">
        <v>1</v>
      </c>
      <c r="D117" s="43">
        <v>1</v>
      </c>
      <c r="E117" s="40" t="s">
        <v>260</v>
      </c>
      <c r="F117" s="42" t="s">
        <v>160</v>
      </c>
      <c r="G117" s="44" t="s">
        <v>160</v>
      </c>
      <c r="H117" s="44">
        <v>250</v>
      </c>
      <c r="I117" s="44">
        <v>5</v>
      </c>
      <c r="J117" s="44">
        <v>8</v>
      </c>
      <c r="K117" s="44" t="s">
        <v>161</v>
      </c>
      <c r="L117" s="44" t="s">
        <v>162</v>
      </c>
      <c r="M117" s="44" t="s">
        <v>162</v>
      </c>
      <c r="N117" s="44" t="s">
        <v>162</v>
      </c>
      <c r="O117" s="44" t="s">
        <v>162</v>
      </c>
      <c r="P117" s="47">
        <v>1.5</v>
      </c>
      <c r="Q117" s="48">
        <v>8.08</v>
      </c>
      <c r="R117" s="54" t="str">
        <f>_xlfn.XLOOKUP(Table4[[#This Row],[ref_id]],$AB$5:$AB$182,$AC$5:$AC$182)</f>
        <v>C</v>
      </c>
      <c r="AB117" s="55" t="s">
        <v>25</v>
      </c>
      <c r="AC117" s="55" t="s">
        <v>193</v>
      </c>
    </row>
    <row r="118" spans="1:29" ht="15.5" customHeight="1" x14ac:dyDescent="0.35">
      <c r="A118" s="42" t="s">
        <v>426</v>
      </c>
      <c r="B118" s="42" t="s">
        <v>427</v>
      </c>
      <c r="C118" s="42">
        <v>4</v>
      </c>
      <c r="D118" s="43">
        <v>1</v>
      </c>
      <c r="E118" s="40" t="s">
        <v>260</v>
      </c>
      <c r="F118" s="42" t="s">
        <v>160</v>
      </c>
      <c r="G118" s="44" t="s">
        <v>160</v>
      </c>
      <c r="H118" s="44">
        <v>250</v>
      </c>
      <c r="I118" s="44">
        <v>5</v>
      </c>
      <c r="J118" s="44">
        <v>8</v>
      </c>
      <c r="K118" s="44" t="s">
        <v>161</v>
      </c>
      <c r="L118" s="44" t="s">
        <v>162</v>
      </c>
      <c r="M118" s="44" t="s">
        <v>162</v>
      </c>
      <c r="N118" s="44" t="s">
        <v>162</v>
      </c>
      <c r="O118" s="44" t="s">
        <v>162</v>
      </c>
      <c r="P118" s="47">
        <v>6</v>
      </c>
      <c r="Q118" s="48">
        <v>37.94</v>
      </c>
      <c r="R118" s="54" t="str">
        <f>_xlfn.XLOOKUP(Table4[[#This Row],[ref_id]],$AB$5:$AB$182,$AC$5:$AC$182)</f>
        <v>C</v>
      </c>
      <c r="AB118" s="56" t="s">
        <v>262</v>
      </c>
      <c r="AC118" s="56" t="s">
        <v>193</v>
      </c>
    </row>
    <row r="119" spans="1:29" ht="15.5" customHeight="1" x14ac:dyDescent="0.35">
      <c r="A119" s="42" t="s">
        <v>350</v>
      </c>
      <c r="B119" s="42" t="s">
        <v>428</v>
      </c>
      <c r="C119" s="42">
        <v>4</v>
      </c>
      <c r="D119" s="43">
        <v>0</v>
      </c>
      <c r="E119" s="40" t="s">
        <v>235</v>
      </c>
      <c r="F119" s="42" t="s">
        <v>160</v>
      </c>
      <c r="G119" s="44" t="s">
        <v>160</v>
      </c>
      <c r="H119" s="44">
        <v>300</v>
      </c>
      <c r="I119" s="44">
        <v>5</v>
      </c>
      <c r="J119" s="44">
        <v>6</v>
      </c>
      <c r="K119" s="44" t="s">
        <v>161</v>
      </c>
      <c r="L119" s="44" t="s">
        <v>162</v>
      </c>
      <c r="M119" s="44" t="s">
        <v>162</v>
      </c>
      <c r="N119" s="44" t="s">
        <v>162</v>
      </c>
      <c r="O119" s="44" t="s">
        <v>162</v>
      </c>
      <c r="P119" s="47">
        <v>2.6</v>
      </c>
      <c r="Q119" s="48">
        <v>16.93</v>
      </c>
      <c r="R119" s="54" t="str">
        <f>_xlfn.XLOOKUP(Table4[[#This Row],[ref_id]],$AB$5:$AB$182,$AC$5:$AC$182)</f>
        <v>C</v>
      </c>
      <c r="AB119" s="55" t="s">
        <v>429</v>
      </c>
      <c r="AC119" s="55" t="s">
        <v>193</v>
      </c>
    </row>
    <row r="120" spans="1:29" ht="15.5" customHeight="1" x14ac:dyDescent="0.35">
      <c r="A120" s="42" t="s">
        <v>430</v>
      </c>
      <c r="B120" s="42" t="s">
        <v>431</v>
      </c>
      <c r="C120" s="42">
        <v>3</v>
      </c>
      <c r="D120" s="43">
        <v>1</v>
      </c>
      <c r="E120" s="40" t="s">
        <v>260</v>
      </c>
      <c r="F120" s="42" t="s">
        <v>160</v>
      </c>
      <c r="G120" s="44" t="s">
        <v>160</v>
      </c>
      <c r="H120" s="44">
        <v>250</v>
      </c>
      <c r="I120" s="44">
        <v>5</v>
      </c>
      <c r="J120" s="44">
        <v>8</v>
      </c>
      <c r="K120" s="44" t="s">
        <v>161</v>
      </c>
      <c r="L120" s="44" t="s">
        <v>162</v>
      </c>
      <c r="M120" s="44" t="s">
        <v>162</v>
      </c>
      <c r="N120" s="44" t="s">
        <v>162</v>
      </c>
      <c r="O120" s="44" t="s">
        <v>162</v>
      </c>
      <c r="P120" s="47">
        <v>4.5</v>
      </c>
      <c r="Q120" s="48">
        <v>37.94</v>
      </c>
      <c r="R120" s="54" t="str">
        <f>_xlfn.XLOOKUP(Table4[[#This Row],[ref_id]],$AB$5:$AB$182,$AC$5:$AC$182)</f>
        <v>C</v>
      </c>
      <c r="AB120" s="56" t="s">
        <v>432</v>
      </c>
      <c r="AC120" s="56" t="s">
        <v>193</v>
      </c>
    </row>
    <row r="121" spans="1:29" ht="15.5" customHeight="1" x14ac:dyDescent="0.35">
      <c r="A121" s="42" t="s">
        <v>433</v>
      </c>
      <c r="B121" s="42" t="s">
        <v>434</v>
      </c>
      <c r="C121" s="42">
        <v>21</v>
      </c>
      <c r="D121" s="43">
        <v>0</v>
      </c>
      <c r="E121" s="40" t="s">
        <v>295</v>
      </c>
      <c r="F121" s="42" t="s">
        <v>160</v>
      </c>
      <c r="G121" s="44" t="s">
        <v>160</v>
      </c>
      <c r="H121" s="44">
        <v>2268</v>
      </c>
      <c r="I121" s="44">
        <v>8</v>
      </c>
      <c r="J121" s="44">
        <v>4</v>
      </c>
      <c r="K121" s="44" t="s">
        <v>161</v>
      </c>
      <c r="L121" s="44" t="s">
        <v>162</v>
      </c>
      <c r="M121" s="44" t="s">
        <v>162</v>
      </c>
      <c r="N121" s="44" t="s">
        <v>162</v>
      </c>
      <c r="O121" s="44" t="s">
        <v>162</v>
      </c>
      <c r="P121" s="47">
        <v>2.1</v>
      </c>
      <c r="Q121" s="48">
        <v>17.78</v>
      </c>
      <c r="R121" s="54" t="str">
        <f>_xlfn.XLOOKUP(Table4[[#This Row],[ref_id]],$AB$5:$AB$182,$AC$5:$AC$182)</f>
        <v>C</v>
      </c>
      <c r="AB121" s="55" t="s">
        <v>343</v>
      </c>
      <c r="AC121" s="55" t="s">
        <v>193</v>
      </c>
    </row>
    <row r="122" spans="1:29" ht="15.5" customHeight="1" x14ac:dyDescent="0.35">
      <c r="A122" s="42" t="s">
        <v>388</v>
      </c>
      <c r="B122" s="42" t="s">
        <v>435</v>
      </c>
      <c r="C122" s="42">
        <v>21</v>
      </c>
      <c r="D122" s="43">
        <v>0</v>
      </c>
      <c r="E122" s="40" t="s">
        <v>295</v>
      </c>
      <c r="F122" s="42" t="s">
        <v>160</v>
      </c>
      <c r="G122" s="44" t="s">
        <v>160</v>
      </c>
      <c r="H122" s="44">
        <v>2268</v>
      </c>
      <c r="I122" s="44">
        <v>8</v>
      </c>
      <c r="J122" s="44">
        <v>4</v>
      </c>
      <c r="K122" s="44" t="s">
        <v>161</v>
      </c>
      <c r="L122" s="44" t="s">
        <v>162</v>
      </c>
      <c r="M122" s="44" t="s">
        <v>162</v>
      </c>
      <c r="N122" s="44" t="s">
        <v>162</v>
      </c>
      <c r="O122" s="44" t="s">
        <v>162</v>
      </c>
      <c r="P122" s="47">
        <v>2.1</v>
      </c>
      <c r="Q122" s="48">
        <v>17.78</v>
      </c>
      <c r="R122" s="54" t="str">
        <f>_xlfn.XLOOKUP(Table4[[#This Row],[ref_id]],$AB$5:$AB$182,$AC$5:$AC$182)</f>
        <v>C</v>
      </c>
      <c r="AB122" s="56" t="s">
        <v>354</v>
      </c>
      <c r="AC122" s="56" t="s">
        <v>193</v>
      </c>
    </row>
    <row r="123" spans="1:29" ht="15.5" customHeight="1" x14ac:dyDescent="0.35">
      <c r="A123" s="42" t="s">
        <v>13</v>
      </c>
      <c r="B123" s="42" t="s">
        <v>436</v>
      </c>
      <c r="C123" s="42">
        <v>21</v>
      </c>
      <c r="D123" s="43">
        <v>0</v>
      </c>
      <c r="E123" s="40" t="s">
        <v>295</v>
      </c>
      <c r="F123" s="42" t="s">
        <v>160</v>
      </c>
      <c r="G123" s="44" t="s">
        <v>160</v>
      </c>
      <c r="H123" s="44">
        <v>2268</v>
      </c>
      <c r="I123" s="44">
        <v>8</v>
      </c>
      <c r="J123" s="44">
        <v>6</v>
      </c>
      <c r="K123" s="44" t="s">
        <v>161</v>
      </c>
      <c r="L123" s="44" t="s">
        <v>162</v>
      </c>
      <c r="M123" s="44" t="s">
        <v>162</v>
      </c>
      <c r="N123" s="44" t="s">
        <v>162</v>
      </c>
      <c r="O123" s="44" t="s">
        <v>162</v>
      </c>
      <c r="P123" s="47">
        <v>2.625</v>
      </c>
      <c r="Q123" s="48">
        <v>16.559999999999999</v>
      </c>
      <c r="R123" s="54" t="str">
        <f>_xlfn.XLOOKUP(Table4[[#This Row],[ref_id]],$AB$5:$AB$182,$AC$5:$AC$182)</f>
        <v>C</v>
      </c>
      <c r="AB123" s="55" t="s">
        <v>365</v>
      </c>
      <c r="AC123" s="55" t="s">
        <v>193</v>
      </c>
    </row>
    <row r="124" spans="1:29" ht="15.5" customHeight="1" x14ac:dyDescent="0.35">
      <c r="A124" s="42" t="s">
        <v>437</v>
      </c>
      <c r="B124" s="42" t="s">
        <v>438</v>
      </c>
      <c r="C124" s="42">
        <v>21</v>
      </c>
      <c r="D124" s="43">
        <v>0</v>
      </c>
      <c r="E124" s="40" t="s">
        <v>295</v>
      </c>
      <c r="F124" s="42" t="s">
        <v>160</v>
      </c>
      <c r="G124" s="44" t="s">
        <v>160</v>
      </c>
      <c r="H124" s="44">
        <v>2268</v>
      </c>
      <c r="I124" s="44">
        <v>8</v>
      </c>
      <c r="J124" s="44">
        <v>6</v>
      </c>
      <c r="K124" s="44" t="s">
        <v>161</v>
      </c>
      <c r="L124" s="44" t="s">
        <v>162</v>
      </c>
      <c r="M124" s="44" t="s">
        <v>162</v>
      </c>
      <c r="N124" s="44" t="s">
        <v>162</v>
      </c>
      <c r="O124" s="44" t="s">
        <v>162</v>
      </c>
      <c r="P124" s="47">
        <v>2.1</v>
      </c>
      <c r="Q124" s="48">
        <v>17.78</v>
      </c>
      <c r="R124" s="54" t="str">
        <f>_xlfn.XLOOKUP(Table4[[#This Row],[ref_id]],$AB$5:$AB$182,$AC$5:$AC$182)</f>
        <v>C</v>
      </c>
      <c r="AB124" s="56" t="s">
        <v>337</v>
      </c>
      <c r="AC124" s="56" t="s">
        <v>193</v>
      </c>
    </row>
    <row r="125" spans="1:29" ht="15.5" customHeight="1" x14ac:dyDescent="0.35">
      <c r="A125" s="42" t="s">
        <v>75</v>
      </c>
      <c r="B125" s="42" t="s">
        <v>439</v>
      </c>
      <c r="C125" s="42">
        <v>21</v>
      </c>
      <c r="D125" s="43">
        <v>0</v>
      </c>
      <c r="E125" s="40" t="s">
        <v>295</v>
      </c>
      <c r="F125" s="42" t="s">
        <v>160</v>
      </c>
      <c r="G125" s="44" t="s">
        <v>161</v>
      </c>
      <c r="H125" s="44" t="s">
        <v>162</v>
      </c>
      <c r="I125" s="44" t="s">
        <v>162</v>
      </c>
      <c r="J125" s="44" t="s">
        <v>162</v>
      </c>
      <c r="K125" s="44" t="s">
        <v>160</v>
      </c>
      <c r="L125" s="44">
        <v>2268</v>
      </c>
      <c r="M125" s="44">
        <v>2268</v>
      </c>
      <c r="N125" s="44">
        <v>8</v>
      </c>
      <c r="O125" s="44">
        <v>4</v>
      </c>
      <c r="P125" s="47">
        <v>2.1</v>
      </c>
      <c r="Q125" s="48">
        <v>13.68</v>
      </c>
      <c r="R125" s="54" t="str">
        <f>_xlfn.XLOOKUP(Table4[[#This Row],[ref_id]],$AB$5:$AB$182,$AC$5:$AC$182)</f>
        <v>C</v>
      </c>
      <c r="AB125" s="55" t="s">
        <v>16</v>
      </c>
      <c r="AC125" s="55" t="s">
        <v>193</v>
      </c>
    </row>
    <row r="126" spans="1:29" ht="15.5" customHeight="1" x14ac:dyDescent="0.35">
      <c r="A126" s="42" t="s">
        <v>440</v>
      </c>
      <c r="B126" s="42" t="s">
        <v>441</v>
      </c>
      <c r="C126" s="42">
        <v>21</v>
      </c>
      <c r="D126" s="43">
        <v>0</v>
      </c>
      <c r="E126" s="40" t="s">
        <v>295</v>
      </c>
      <c r="F126" s="42" t="s">
        <v>160</v>
      </c>
      <c r="G126" s="44" t="s">
        <v>160</v>
      </c>
      <c r="H126" s="44">
        <v>2268</v>
      </c>
      <c r="I126" s="44">
        <v>8</v>
      </c>
      <c r="J126" s="44">
        <v>4</v>
      </c>
      <c r="K126" s="44" t="s">
        <v>161</v>
      </c>
      <c r="L126" s="44" t="s">
        <v>162</v>
      </c>
      <c r="M126" s="44" t="s">
        <v>162</v>
      </c>
      <c r="N126" s="44" t="s">
        <v>162</v>
      </c>
      <c r="O126" s="44" t="s">
        <v>162</v>
      </c>
      <c r="P126" s="47">
        <v>2.31</v>
      </c>
      <c r="Q126" s="48">
        <v>17.28</v>
      </c>
      <c r="R126" s="54" t="str">
        <f>_xlfn.XLOOKUP(Table4[[#This Row],[ref_id]],$AB$5:$AB$182,$AC$5:$AC$182)</f>
        <v>C</v>
      </c>
      <c r="AB126" s="56" t="s">
        <v>442</v>
      </c>
      <c r="AC126" s="56" t="s">
        <v>193</v>
      </c>
    </row>
    <row r="127" spans="1:29" ht="15.5" customHeight="1" x14ac:dyDescent="0.35">
      <c r="A127" s="42" t="s">
        <v>68</v>
      </c>
      <c r="B127" s="42" t="s">
        <v>443</v>
      </c>
      <c r="C127" s="42">
        <v>21</v>
      </c>
      <c r="D127" s="43">
        <v>0</v>
      </c>
      <c r="E127" s="40" t="s">
        <v>295</v>
      </c>
      <c r="F127" s="42" t="s">
        <v>160</v>
      </c>
      <c r="G127" s="44" t="s">
        <v>160</v>
      </c>
      <c r="H127" s="44">
        <v>2268</v>
      </c>
      <c r="I127" s="44">
        <v>8</v>
      </c>
      <c r="J127" s="44">
        <v>4</v>
      </c>
      <c r="K127" s="44" t="s">
        <v>161</v>
      </c>
      <c r="L127" s="44" t="s">
        <v>162</v>
      </c>
      <c r="M127" s="44" t="s">
        <v>162</v>
      </c>
      <c r="N127" s="44" t="s">
        <v>162</v>
      </c>
      <c r="O127" s="44" t="s">
        <v>162</v>
      </c>
      <c r="P127" s="47">
        <v>2.1</v>
      </c>
      <c r="Q127" s="48">
        <v>17.28</v>
      </c>
      <c r="R127" s="54" t="str">
        <f>_xlfn.XLOOKUP(Table4[[#This Row],[ref_id]],$AB$5:$AB$182,$AC$5:$AC$182)</f>
        <v>B</v>
      </c>
      <c r="AB127" s="55" t="s">
        <v>7</v>
      </c>
      <c r="AC127" s="55" t="s">
        <v>193</v>
      </c>
    </row>
    <row r="128" spans="1:29" ht="15.5" customHeight="1" x14ac:dyDescent="0.35">
      <c r="A128" s="42" t="s">
        <v>444</v>
      </c>
      <c r="B128" s="42" t="s">
        <v>445</v>
      </c>
      <c r="C128" s="42">
        <v>21</v>
      </c>
      <c r="D128" s="43">
        <v>0</v>
      </c>
      <c r="E128" s="40" t="s">
        <v>295</v>
      </c>
      <c r="F128" s="42" t="s">
        <v>160</v>
      </c>
      <c r="G128" s="44" t="s">
        <v>160</v>
      </c>
      <c r="H128" s="44">
        <v>2268</v>
      </c>
      <c r="I128" s="44">
        <v>8</v>
      </c>
      <c r="J128" s="44">
        <v>4</v>
      </c>
      <c r="K128" s="44" t="s">
        <v>161</v>
      </c>
      <c r="L128" s="44" t="s">
        <v>162</v>
      </c>
      <c r="M128" s="44" t="s">
        <v>162</v>
      </c>
      <c r="N128" s="44" t="s">
        <v>162</v>
      </c>
      <c r="O128" s="44" t="s">
        <v>162</v>
      </c>
      <c r="P128" s="47">
        <v>2.1</v>
      </c>
      <c r="Q128" s="48">
        <v>17.28</v>
      </c>
      <c r="R128" s="54" t="str">
        <f>_xlfn.XLOOKUP(Table4[[#This Row],[ref_id]],$AB$5:$AB$182,$AC$5:$AC$182)</f>
        <v>C</v>
      </c>
      <c r="AB128" s="56" t="s">
        <v>17</v>
      </c>
      <c r="AC128" s="56" t="s">
        <v>193</v>
      </c>
    </row>
    <row r="129" spans="1:29" ht="15.5" customHeight="1" x14ac:dyDescent="0.35">
      <c r="A129" s="42" t="s">
        <v>74</v>
      </c>
      <c r="B129" s="42" t="s">
        <v>446</v>
      </c>
      <c r="C129" s="42">
        <v>21</v>
      </c>
      <c r="D129" s="43">
        <v>0</v>
      </c>
      <c r="E129" s="40" t="s">
        <v>295</v>
      </c>
      <c r="F129" s="42" t="s">
        <v>160</v>
      </c>
      <c r="G129" s="44" t="s">
        <v>160</v>
      </c>
      <c r="H129" s="44">
        <v>2268</v>
      </c>
      <c r="I129" s="44">
        <v>8</v>
      </c>
      <c r="J129" s="44">
        <v>4</v>
      </c>
      <c r="K129" s="44" t="s">
        <v>161</v>
      </c>
      <c r="L129" s="44" t="s">
        <v>162</v>
      </c>
      <c r="M129" s="44" t="s">
        <v>162</v>
      </c>
      <c r="N129" s="44" t="s">
        <v>162</v>
      </c>
      <c r="O129" s="44" t="s">
        <v>162</v>
      </c>
      <c r="P129" s="47">
        <v>2.1</v>
      </c>
      <c r="Q129" s="48">
        <v>13.68</v>
      </c>
      <c r="R129" s="54" t="str">
        <f>_xlfn.XLOOKUP(Table4[[#This Row],[ref_id]],$AB$5:$AB$182,$AC$5:$AC$182)</f>
        <v>C</v>
      </c>
      <c r="AB129" s="55" t="s">
        <v>403</v>
      </c>
      <c r="AC129" s="55" t="s">
        <v>193</v>
      </c>
    </row>
    <row r="130" spans="1:29" ht="15.5" customHeight="1" x14ac:dyDescent="0.35">
      <c r="A130" s="42" t="s">
        <v>391</v>
      </c>
      <c r="B130" s="42" t="s">
        <v>447</v>
      </c>
      <c r="C130" s="42">
        <v>21</v>
      </c>
      <c r="D130" s="43">
        <v>0</v>
      </c>
      <c r="E130" s="40" t="s">
        <v>295</v>
      </c>
      <c r="F130" s="42" t="s">
        <v>160</v>
      </c>
      <c r="G130" s="44" t="s">
        <v>160</v>
      </c>
      <c r="H130" s="44">
        <v>2268</v>
      </c>
      <c r="I130" s="44">
        <v>9</v>
      </c>
      <c r="J130" s="44">
        <v>5</v>
      </c>
      <c r="K130" s="44" t="s">
        <v>161</v>
      </c>
      <c r="L130" s="44" t="s">
        <v>162</v>
      </c>
      <c r="M130" s="44" t="s">
        <v>162</v>
      </c>
      <c r="N130" s="44" t="s">
        <v>162</v>
      </c>
      <c r="O130" s="44" t="s">
        <v>162</v>
      </c>
      <c r="P130" s="47">
        <v>2.1</v>
      </c>
      <c r="Q130" s="48">
        <v>16.489999999999998</v>
      </c>
      <c r="R130" s="54" t="str">
        <f>_xlfn.XLOOKUP(Table4[[#This Row],[ref_id]],$AB$5:$AB$182,$AC$5:$AC$182)</f>
        <v>C</v>
      </c>
      <c r="AB130" s="56" t="s">
        <v>208</v>
      </c>
      <c r="AC130" s="56" t="s">
        <v>193</v>
      </c>
    </row>
    <row r="131" spans="1:29" ht="15.5" customHeight="1" x14ac:dyDescent="0.35">
      <c r="A131" s="42" t="s">
        <v>15</v>
      </c>
      <c r="B131" s="42" t="s">
        <v>448</v>
      </c>
      <c r="C131" s="42">
        <v>21</v>
      </c>
      <c r="D131" s="43">
        <v>0</v>
      </c>
      <c r="E131" s="40" t="s">
        <v>295</v>
      </c>
      <c r="F131" s="42" t="s">
        <v>160</v>
      </c>
      <c r="G131" s="44" t="s">
        <v>160</v>
      </c>
      <c r="H131" s="44">
        <v>2268</v>
      </c>
      <c r="I131" s="44">
        <v>9</v>
      </c>
      <c r="J131" s="44">
        <v>5</v>
      </c>
      <c r="K131" s="44" t="s">
        <v>161</v>
      </c>
      <c r="L131" s="44" t="s">
        <v>162</v>
      </c>
      <c r="M131" s="44" t="s">
        <v>162</v>
      </c>
      <c r="N131" s="44" t="s">
        <v>162</v>
      </c>
      <c r="O131" s="44" t="s">
        <v>162</v>
      </c>
      <c r="P131" s="47">
        <v>2.625</v>
      </c>
      <c r="Q131" s="48">
        <v>14.57</v>
      </c>
      <c r="R131" s="54" t="str">
        <f>_xlfn.XLOOKUP(Table4[[#This Row],[ref_id]],$AB$5:$AB$182,$AC$5:$AC$182)</f>
        <v>C</v>
      </c>
      <c r="AB131" s="55" t="s">
        <v>236</v>
      </c>
      <c r="AC131" s="55" t="s">
        <v>193</v>
      </c>
    </row>
    <row r="132" spans="1:29" ht="15.5" customHeight="1" x14ac:dyDescent="0.35">
      <c r="A132" s="42" t="s">
        <v>449</v>
      </c>
      <c r="B132" s="42" t="s">
        <v>450</v>
      </c>
      <c r="C132" s="42">
        <v>21</v>
      </c>
      <c r="D132" s="43">
        <v>0</v>
      </c>
      <c r="E132" s="40" t="s">
        <v>295</v>
      </c>
      <c r="F132" s="42" t="s">
        <v>160</v>
      </c>
      <c r="G132" s="44" t="s">
        <v>160</v>
      </c>
      <c r="H132" s="44">
        <v>2268</v>
      </c>
      <c r="I132" s="44">
        <v>9</v>
      </c>
      <c r="J132" s="44">
        <v>5</v>
      </c>
      <c r="K132" s="44" t="s">
        <v>161</v>
      </c>
      <c r="L132" s="44" t="s">
        <v>162</v>
      </c>
      <c r="M132" s="44" t="s">
        <v>162</v>
      </c>
      <c r="N132" s="44" t="s">
        <v>162</v>
      </c>
      <c r="O132" s="44" t="s">
        <v>162</v>
      </c>
      <c r="P132" s="47">
        <v>2.1</v>
      </c>
      <c r="Q132" s="48">
        <v>16.489999999999998</v>
      </c>
      <c r="R132" s="54" t="str">
        <f>_xlfn.XLOOKUP(Table4[[#This Row],[ref_id]],$AB$5:$AB$182,$AC$5:$AC$182)</f>
        <v>C</v>
      </c>
      <c r="AB132" s="56" t="s">
        <v>52</v>
      </c>
      <c r="AC132" s="56" t="s">
        <v>193</v>
      </c>
    </row>
    <row r="133" spans="1:29" ht="15.5" customHeight="1" x14ac:dyDescent="0.35">
      <c r="A133" s="42" t="s">
        <v>451</v>
      </c>
      <c r="B133" s="42" t="s">
        <v>452</v>
      </c>
      <c r="C133" s="42">
        <v>21</v>
      </c>
      <c r="D133" s="43">
        <v>0</v>
      </c>
      <c r="E133" s="40" t="s">
        <v>295</v>
      </c>
      <c r="F133" s="42" t="s">
        <v>160</v>
      </c>
      <c r="G133" s="44" t="s">
        <v>160</v>
      </c>
      <c r="H133" s="44">
        <v>2268</v>
      </c>
      <c r="I133" s="44">
        <v>9</v>
      </c>
      <c r="J133" s="44">
        <v>5</v>
      </c>
      <c r="K133" s="44" t="s">
        <v>161</v>
      </c>
      <c r="L133" s="44" t="s">
        <v>162</v>
      </c>
      <c r="M133" s="44" t="s">
        <v>162</v>
      </c>
      <c r="N133" s="44" t="s">
        <v>162</v>
      </c>
      <c r="O133" s="44" t="s">
        <v>162</v>
      </c>
      <c r="P133" s="47">
        <v>2.1</v>
      </c>
      <c r="Q133" s="48">
        <v>16.489999999999998</v>
      </c>
      <c r="R133" s="54" t="str">
        <f>_xlfn.XLOOKUP(Table4[[#This Row],[ref_id]],$AB$5:$AB$182,$AC$5:$AC$182)</f>
        <v>C</v>
      </c>
      <c r="AB133" s="55" t="s">
        <v>172</v>
      </c>
      <c r="AC133" s="55" t="s">
        <v>193</v>
      </c>
    </row>
    <row r="134" spans="1:29" ht="15.5" customHeight="1" x14ac:dyDescent="0.35">
      <c r="A134" s="42" t="s">
        <v>375</v>
      </c>
      <c r="B134" s="42" t="s">
        <v>453</v>
      </c>
      <c r="C134" s="42">
        <v>21</v>
      </c>
      <c r="D134" s="43">
        <v>0</v>
      </c>
      <c r="E134" s="40" t="s">
        <v>295</v>
      </c>
      <c r="F134" s="42" t="s">
        <v>160</v>
      </c>
      <c r="G134" s="44" t="s">
        <v>160</v>
      </c>
      <c r="H134" s="44">
        <v>2268</v>
      </c>
      <c r="I134" s="44">
        <v>9</v>
      </c>
      <c r="J134" s="44">
        <v>5</v>
      </c>
      <c r="K134" s="44" t="s">
        <v>161</v>
      </c>
      <c r="L134" s="44" t="s">
        <v>162</v>
      </c>
      <c r="M134" s="44" t="s">
        <v>162</v>
      </c>
      <c r="N134" s="44" t="s">
        <v>162</v>
      </c>
      <c r="O134" s="44" t="s">
        <v>162</v>
      </c>
      <c r="P134" s="47">
        <v>2.1</v>
      </c>
      <c r="Q134" s="48">
        <v>16.489999999999998</v>
      </c>
      <c r="R134" s="54" t="str">
        <f>_xlfn.XLOOKUP(Table4[[#This Row],[ref_id]],$AB$5:$AB$182,$AC$5:$AC$182)</f>
        <v>C</v>
      </c>
      <c r="AB134" s="56" t="s">
        <v>416</v>
      </c>
      <c r="AC134" s="56" t="s">
        <v>193</v>
      </c>
    </row>
    <row r="135" spans="1:29" ht="15.5" customHeight="1" x14ac:dyDescent="0.35">
      <c r="A135" s="42" t="s">
        <v>16</v>
      </c>
      <c r="B135" s="42" t="s">
        <v>454</v>
      </c>
      <c r="C135" s="42">
        <v>21</v>
      </c>
      <c r="D135" s="43">
        <v>0</v>
      </c>
      <c r="E135" s="40" t="s">
        <v>295</v>
      </c>
      <c r="F135" s="42" t="s">
        <v>160</v>
      </c>
      <c r="G135" s="44" t="s">
        <v>160</v>
      </c>
      <c r="H135" s="44">
        <v>2268</v>
      </c>
      <c r="I135" s="44">
        <v>9</v>
      </c>
      <c r="J135" s="44">
        <v>5</v>
      </c>
      <c r="K135" s="44" t="s">
        <v>161</v>
      </c>
      <c r="L135" s="44" t="s">
        <v>162</v>
      </c>
      <c r="M135" s="44" t="s">
        <v>162</v>
      </c>
      <c r="N135" s="44" t="s">
        <v>162</v>
      </c>
      <c r="O135" s="44" t="s">
        <v>162</v>
      </c>
      <c r="P135" s="47">
        <v>2.625</v>
      </c>
      <c r="Q135" s="48">
        <v>13.81</v>
      </c>
      <c r="R135" s="54" t="str">
        <f>_xlfn.XLOOKUP(Table4[[#This Row],[ref_id]],$AB$5:$AB$182,$AC$5:$AC$182)</f>
        <v>C</v>
      </c>
      <c r="AB135" s="55" t="s">
        <v>170</v>
      </c>
      <c r="AC135" s="55" t="s">
        <v>193</v>
      </c>
    </row>
    <row r="136" spans="1:29" ht="15.5" customHeight="1" x14ac:dyDescent="0.35">
      <c r="A136" s="42" t="s">
        <v>455</v>
      </c>
      <c r="B136" s="42" t="s">
        <v>456</v>
      </c>
      <c r="C136" s="42">
        <v>21</v>
      </c>
      <c r="D136" s="43">
        <v>0</v>
      </c>
      <c r="E136" s="40" t="s">
        <v>295</v>
      </c>
      <c r="F136" s="42" t="s">
        <v>160</v>
      </c>
      <c r="G136" s="44" t="s">
        <v>160</v>
      </c>
      <c r="H136" s="44">
        <v>2268</v>
      </c>
      <c r="I136" s="44">
        <v>9</v>
      </c>
      <c r="J136" s="44">
        <v>5</v>
      </c>
      <c r="K136" s="44" t="s">
        <v>161</v>
      </c>
      <c r="L136" s="44" t="s">
        <v>162</v>
      </c>
      <c r="M136" s="44" t="s">
        <v>162</v>
      </c>
      <c r="N136" s="44" t="s">
        <v>162</v>
      </c>
      <c r="O136" s="44" t="s">
        <v>162</v>
      </c>
      <c r="P136" s="47">
        <v>2.1</v>
      </c>
      <c r="Q136" s="48">
        <v>16.489999999999998</v>
      </c>
      <c r="R136" s="54" t="str">
        <f>_xlfn.XLOOKUP(Table4[[#This Row],[ref_id]],$AB$5:$AB$182,$AC$5:$AC$182)</f>
        <v>C</v>
      </c>
      <c r="AB136" s="56" t="s">
        <v>187</v>
      </c>
      <c r="AC136" s="56" t="s">
        <v>193</v>
      </c>
    </row>
    <row r="137" spans="1:29" ht="15.5" customHeight="1" x14ac:dyDescent="0.35">
      <c r="A137" s="42" t="s">
        <v>383</v>
      </c>
      <c r="B137" s="42" t="s">
        <v>457</v>
      </c>
      <c r="C137" s="42">
        <v>21</v>
      </c>
      <c r="D137" s="43">
        <v>1</v>
      </c>
      <c r="E137" s="40" t="s">
        <v>295</v>
      </c>
      <c r="F137" s="42" t="s">
        <v>160</v>
      </c>
      <c r="G137" s="44" t="s">
        <v>160</v>
      </c>
      <c r="H137" s="44">
        <v>2268</v>
      </c>
      <c r="I137" s="44">
        <v>9</v>
      </c>
      <c r="J137" s="44">
        <v>5</v>
      </c>
      <c r="K137" s="44" t="s">
        <v>161</v>
      </c>
      <c r="L137" s="44" t="s">
        <v>162</v>
      </c>
      <c r="M137" s="44" t="s">
        <v>162</v>
      </c>
      <c r="N137" s="44" t="s">
        <v>162</v>
      </c>
      <c r="O137" s="44" t="s">
        <v>162</v>
      </c>
      <c r="P137" s="47">
        <v>2.1</v>
      </c>
      <c r="Q137" s="48">
        <v>13.24</v>
      </c>
      <c r="R137" s="54" t="str">
        <f>_xlfn.XLOOKUP(Table4[[#This Row],[ref_id]],$AB$5:$AB$182,$AC$5:$AC$182)</f>
        <v>C</v>
      </c>
      <c r="AB137" s="55" t="s">
        <v>59</v>
      </c>
      <c r="AC137" s="55" t="s">
        <v>193</v>
      </c>
    </row>
    <row r="138" spans="1:29" ht="15.5" customHeight="1" x14ac:dyDescent="0.35">
      <c r="A138" s="42" t="s">
        <v>67</v>
      </c>
      <c r="B138" s="42" t="s">
        <v>458</v>
      </c>
      <c r="C138" s="42">
        <v>1</v>
      </c>
      <c r="D138" s="43">
        <v>0</v>
      </c>
      <c r="E138" s="40" t="s">
        <v>203</v>
      </c>
      <c r="F138" s="42" t="s">
        <v>160</v>
      </c>
      <c r="G138" s="44" t="s">
        <v>160</v>
      </c>
      <c r="H138" s="44">
        <v>100</v>
      </c>
      <c r="I138" s="44">
        <v>3</v>
      </c>
      <c r="J138" s="44">
        <v>3</v>
      </c>
      <c r="K138" s="44" t="s">
        <v>161</v>
      </c>
      <c r="L138" s="44" t="s">
        <v>162</v>
      </c>
      <c r="M138" s="44" t="s">
        <v>162</v>
      </c>
      <c r="N138" s="44" t="s">
        <v>162</v>
      </c>
      <c r="O138" s="44" t="s">
        <v>162</v>
      </c>
      <c r="P138" s="47">
        <v>2</v>
      </c>
      <c r="Q138" s="48">
        <v>11.34</v>
      </c>
      <c r="R138" s="54" t="str">
        <f>_xlfn.XLOOKUP(Table4[[#This Row],[ref_id]],$AB$5:$AB$182,$AC$5:$AC$182)</f>
        <v>A</v>
      </c>
      <c r="AB138" s="56" t="s">
        <v>440</v>
      </c>
      <c r="AC138" s="56" t="s">
        <v>193</v>
      </c>
    </row>
    <row r="139" spans="1:29" ht="15.5" customHeight="1" x14ac:dyDescent="0.35">
      <c r="A139" s="42" t="s">
        <v>459</v>
      </c>
      <c r="B139" s="42" t="s">
        <v>460</v>
      </c>
      <c r="C139" s="42">
        <v>21</v>
      </c>
      <c r="D139" s="43">
        <v>0</v>
      </c>
      <c r="E139" s="40" t="s">
        <v>295</v>
      </c>
      <c r="F139" s="42" t="s">
        <v>160</v>
      </c>
      <c r="G139" s="44" t="s">
        <v>160</v>
      </c>
      <c r="H139" s="44">
        <v>2268</v>
      </c>
      <c r="I139" s="44">
        <v>9</v>
      </c>
      <c r="J139" s="44">
        <v>5</v>
      </c>
      <c r="K139" s="44" t="s">
        <v>161</v>
      </c>
      <c r="L139" s="44" t="s">
        <v>162</v>
      </c>
      <c r="M139" s="44" t="s">
        <v>162</v>
      </c>
      <c r="N139" s="44" t="s">
        <v>162</v>
      </c>
      <c r="O139" s="44" t="s">
        <v>162</v>
      </c>
      <c r="P139" s="47">
        <v>2.31</v>
      </c>
      <c r="Q139" s="48">
        <v>16.489999999999998</v>
      </c>
      <c r="R139" s="54" t="str">
        <f>_xlfn.XLOOKUP(Table4[[#This Row],[ref_id]],$AB$5:$AB$182,$AC$5:$AC$182)</f>
        <v>C</v>
      </c>
      <c r="AB139" s="55" t="s">
        <v>83</v>
      </c>
      <c r="AC139" s="55" t="s">
        <v>193</v>
      </c>
    </row>
    <row r="140" spans="1:29" ht="15.5" customHeight="1" x14ac:dyDescent="0.35">
      <c r="A140" s="42" t="s">
        <v>411</v>
      </c>
      <c r="B140" s="42" t="s">
        <v>461</v>
      </c>
      <c r="C140" s="42">
        <v>21</v>
      </c>
      <c r="D140" s="43">
        <v>0</v>
      </c>
      <c r="E140" s="40" t="s">
        <v>295</v>
      </c>
      <c r="F140" s="42" t="s">
        <v>160</v>
      </c>
      <c r="G140" s="44" t="s">
        <v>160</v>
      </c>
      <c r="H140" s="44">
        <v>2268</v>
      </c>
      <c r="I140" s="44">
        <v>9</v>
      </c>
      <c r="J140" s="44">
        <v>5</v>
      </c>
      <c r="K140" s="44" t="s">
        <v>161</v>
      </c>
      <c r="L140" s="44" t="s">
        <v>162</v>
      </c>
      <c r="M140" s="44" t="s">
        <v>162</v>
      </c>
      <c r="N140" s="44" t="s">
        <v>162</v>
      </c>
      <c r="O140" s="44" t="s">
        <v>162</v>
      </c>
      <c r="P140" s="47">
        <v>2.1</v>
      </c>
      <c r="Q140" s="48">
        <v>16.489999999999998</v>
      </c>
      <c r="R140" s="54" t="str">
        <f>_xlfn.XLOOKUP(Table4[[#This Row],[ref_id]],$AB$5:$AB$182,$AC$5:$AC$182)</f>
        <v>C</v>
      </c>
      <c r="AB140" s="56" t="s">
        <v>339</v>
      </c>
      <c r="AC140" s="56" t="s">
        <v>193</v>
      </c>
    </row>
    <row r="141" spans="1:29" ht="15.5" customHeight="1" x14ac:dyDescent="0.35">
      <c r="A141" s="42" t="s">
        <v>18</v>
      </c>
      <c r="B141" s="42" t="s">
        <v>462</v>
      </c>
      <c r="C141" s="42">
        <v>21</v>
      </c>
      <c r="D141" s="43">
        <v>0</v>
      </c>
      <c r="E141" s="40" t="s">
        <v>295</v>
      </c>
      <c r="F141" s="42" t="s">
        <v>160</v>
      </c>
      <c r="G141" s="44" t="s">
        <v>160</v>
      </c>
      <c r="H141" s="44">
        <v>2268</v>
      </c>
      <c r="I141" s="44">
        <v>9</v>
      </c>
      <c r="J141" s="44">
        <v>5</v>
      </c>
      <c r="K141" s="44" t="s">
        <v>161</v>
      </c>
      <c r="L141" s="44" t="s">
        <v>162</v>
      </c>
      <c r="M141" s="44" t="s">
        <v>162</v>
      </c>
      <c r="N141" s="44" t="s">
        <v>162</v>
      </c>
      <c r="O141" s="44" t="s">
        <v>162</v>
      </c>
      <c r="P141" s="47">
        <v>2.625</v>
      </c>
      <c r="Q141" s="48">
        <v>14.86</v>
      </c>
      <c r="R141" s="54" t="str">
        <f>_xlfn.XLOOKUP(Table4[[#This Row],[ref_id]],$AB$5:$AB$182,$AC$5:$AC$182)</f>
        <v>C</v>
      </c>
      <c r="AB141" s="55" t="s">
        <v>414</v>
      </c>
      <c r="AC141" s="55" t="s">
        <v>193</v>
      </c>
    </row>
    <row r="142" spans="1:29" ht="15.5" customHeight="1" x14ac:dyDescent="0.35">
      <c r="A142" s="42" t="s">
        <v>463</v>
      </c>
      <c r="B142" s="42" t="s">
        <v>464</v>
      </c>
      <c r="C142" s="42">
        <v>21</v>
      </c>
      <c r="D142" s="43">
        <v>0</v>
      </c>
      <c r="E142" s="40" t="s">
        <v>295</v>
      </c>
      <c r="F142" s="42" t="s">
        <v>160</v>
      </c>
      <c r="G142" s="44" t="s">
        <v>160</v>
      </c>
      <c r="H142" s="44">
        <v>2268</v>
      </c>
      <c r="I142" s="44">
        <v>9</v>
      </c>
      <c r="J142" s="44">
        <v>5</v>
      </c>
      <c r="K142" s="44" t="s">
        <v>161</v>
      </c>
      <c r="L142" s="44" t="s">
        <v>162</v>
      </c>
      <c r="M142" s="44" t="s">
        <v>162</v>
      </c>
      <c r="N142" s="44" t="s">
        <v>162</v>
      </c>
      <c r="O142" s="44" t="s">
        <v>162</v>
      </c>
      <c r="P142" s="47">
        <v>2.1</v>
      </c>
      <c r="Q142" s="48">
        <v>16.489999999999998</v>
      </c>
      <c r="R142" s="54" t="str">
        <f>_xlfn.XLOOKUP(Table4[[#This Row],[ref_id]],$AB$5:$AB$182,$AC$5:$AC$182)</f>
        <v>C</v>
      </c>
      <c r="AB142" s="56" t="s">
        <v>465</v>
      </c>
      <c r="AC142" s="56" t="s">
        <v>193</v>
      </c>
    </row>
    <row r="143" spans="1:29" ht="15.5" customHeight="1" x14ac:dyDescent="0.35">
      <c r="A143" s="42" t="s">
        <v>370</v>
      </c>
      <c r="B143" s="42" t="s">
        <v>466</v>
      </c>
      <c r="C143" s="42">
        <v>21</v>
      </c>
      <c r="D143" s="43">
        <v>0</v>
      </c>
      <c r="E143" s="40" t="s">
        <v>295</v>
      </c>
      <c r="F143" s="42" t="s">
        <v>160</v>
      </c>
      <c r="G143" s="44" t="s">
        <v>160</v>
      </c>
      <c r="H143" s="44">
        <v>2268</v>
      </c>
      <c r="I143" s="44">
        <v>9</v>
      </c>
      <c r="J143" s="44">
        <v>5</v>
      </c>
      <c r="K143" s="44" t="s">
        <v>161</v>
      </c>
      <c r="L143" s="44" t="s">
        <v>162</v>
      </c>
      <c r="M143" s="44" t="s">
        <v>162</v>
      </c>
      <c r="N143" s="44" t="s">
        <v>162</v>
      </c>
      <c r="O143" s="44" t="s">
        <v>162</v>
      </c>
      <c r="P143" s="47">
        <v>2.1</v>
      </c>
      <c r="Q143" s="48">
        <v>13.24</v>
      </c>
      <c r="R143" s="54" t="str">
        <f>_xlfn.XLOOKUP(Table4[[#This Row],[ref_id]],$AB$5:$AB$182,$AC$5:$AC$182)</f>
        <v>C</v>
      </c>
      <c r="AB143" s="55" t="s">
        <v>467</v>
      </c>
      <c r="AC143" s="55" t="s">
        <v>193</v>
      </c>
    </row>
    <row r="144" spans="1:29" ht="15.5" customHeight="1" x14ac:dyDescent="0.35">
      <c r="A144" s="42" t="s">
        <v>40</v>
      </c>
      <c r="B144" s="42" t="s">
        <v>468</v>
      </c>
      <c r="C144" s="42">
        <v>3</v>
      </c>
      <c r="D144" s="43">
        <v>1</v>
      </c>
      <c r="E144" s="40" t="s">
        <v>271</v>
      </c>
      <c r="F144" s="42" t="s">
        <v>160</v>
      </c>
      <c r="G144" s="44" t="s">
        <v>161</v>
      </c>
      <c r="H144" s="44" t="s">
        <v>162</v>
      </c>
      <c r="I144" s="44" t="s">
        <v>162</v>
      </c>
      <c r="J144" s="44" t="s">
        <v>162</v>
      </c>
      <c r="K144" s="44" t="s">
        <v>160</v>
      </c>
      <c r="L144" s="44">
        <v>220</v>
      </c>
      <c r="M144" s="44">
        <v>220</v>
      </c>
      <c r="N144" s="44">
        <v>3</v>
      </c>
      <c r="O144" s="44">
        <v>1</v>
      </c>
      <c r="P144" s="47">
        <v>6</v>
      </c>
      <c r="Q144" s="48">
        <v>32.32</v>
      </c>
      <c r="R144" s="54" t="str">
        <f>_xlfn.XLOOKUP(Table4[[#This Row],[ref_id]],$AB$5:$AB$182,$AC$5:$AC$182)</f>
        <v>B</v>
      </c>
      <c r="AB144" s="56" t="s">
        <v>463</v>
      </c>
      <c r="AC144" s="56" t="s">
        <v>193</v>
      </c>
    </row>
    <row r="145" spans="1:29" ht="15.5" customHeight="1" x14ac:dyDescent="0.35">
      <c r="A145" s="42" t="s">
        <v>41</v>
      </c>
      <c r="B145" s="42" t="s">
        <v>469</v>
      </c>
      <c r="C145" s="42">
        <v>3</v>
      </c>
      <c r="D145" s="43">
        <v>1</v>
      </c>
      <c r="E145" s="40" t="s">
        <v>271</v>
      </c>
      <c r="F145" s="42" t="s">
        <v>160</v>
      </c>
      <c r="G145" s="44" t="s">
        <v>161</v>
      </c>
      <c r="H145" s="44" t="s">
        <v>162</v>
      </c>
      <c r="I145" s="44" t="s">
        <v>162</v>
      </c>
      <c r="J145" s="44" t="s">
        <v>162</v>
      </c>
      <c r="K145" s="44" t="s">
        <v>160</v>
      </c>
      <c r="L145" s="44">
        <v>220</v>
      </c>
      <c r="M145" s="44">
        <v>220</v>
      </c>
      <c r="N145" s="44">
        <v>3</v>
      </c>
      <c r="O145" s="44">
        <v>1</v>
      </c>
      <c r="P145" s="47">
        <v>6</v>
      </c>
      <c r="Q145" s="48">
        <v>30.59</v>
      </c>
      <c r="R145" s="54" t="str">
        <f>_xlfn.XLOOKUP(Table4[[#This Row],[ref_id]],$AB$5:$AB$182,$AC$5:$AC$182)</f>
        <v>B</v>
      </c>
      <c r="AB145" s="55" t="s">
        <v>470</v>
      </c>
      <c r="AC145" s="55" t="s">
        <v>193</v>
      </c>
    </row>
    <row r="146" spans="1:29" ht="15.5" customHeight="1" x14ac:dyDescent="0.35">
      <c r="A146" s="42" t="s">
        <v>70</v>
      </c>
      <c r="B146" s="42" t="s">
        <v>471</v>
      </c>
      <c r="C146" s="42">
        <v>3</v>
      </c>
      <c r="D146" s="43">
        <v>1</v>
      </c>
      <c r="E146" s="40" t="s">
        <v>271</v>
      </c>
      <c r="F146" s="42" t="s">
        <v>160</v>
      </c>
      <c r="G146" s="44" t="s">
        <v>161</v>
      </c>
      <c r="H146" s="44" t="s">
        <v>162</v>
      </c>
      <c r="I146" s="44" t="s">
        <v>162</v>
      </c>
      <c r="J146" s="44" t="s">
        <v>162</v>
      </c>
      <c r="K146" s="44" t="s">
        <v>160</v>
      </c>
      <c r="L146" s="44">
        <v>220</v>
      </c>
      <c r="M146" s="44">
        <v>220</v>
      </c>
      <c r="N146" s="44">
        <v>3</v>
      </c>
      <c r="O146" s="44">
        <v>1</v>
      </c>
      <c r="P146" s="47">
        <v>6</v>
      </c>
      <c r="Q146" s="48">
        <v>32.35</v>
      </c>
      <c r="R146" s="54" t="str">
        <f>_xlfn.XLOOKUP(Table4[[#This Row],[ref_id]],$AB$5:$AB$182,$AC$5:$AC$182)</f>
        <v>B</v>
      </c>
      <c r="AB146" s="56" t="s">
        <v>472</v>
      </c>
      <c r="AC146" s="56" t="s">
        <v>193</v>
      </c>
    </row>
    <row r="147" spans="1:29" ht="15.5" customHeight="1" x14ac:dyDescent="0.35">
      <c r="A147" s="42" t="s">
        <v>42</v>
      </c>
      <c r="B147" s="42" t="s">
        <v>473</v>
      </c>
      <c r="C147" s="42">
        <v>3</v>
      </c>
      <c r="D147" s="43">
        <v>1</v>
      </c>
      <c r="E147" s="40" t="s">
        <v>271</v>
      </c>
      <c r="F147" s="42" t="s">
        <v>160</v>
      </c>
      <c r="G147" s="44" t="s">
        <v>161</v>
      </c>
      <c r="H147" s="44" t="s">
        <v>162</v>
      </c>
      <c r="I147" s="44" t="s">
        <v>162</v>
      </c>
      <c r="J147" s="44" t="s">
        <v>162</v>
      </c>
      <c r="K147" s="44" t="s">
        <v>160</v>
      </c>
      <c r="L147" s="44">
        <v>220</v>
      </c>
      <c r="M147" s="44">
        <v>220</v>
      </c>
      <c r="N147" s="44">
        <v>3</v>
      </c>
      <c r="O147" s="44">
        <v>1</v>
      </c>
      <c r="P147" s="47">
        <v>6</v>
      </c>
      <c r="Q147" s="48">
        <v>31.03</v>
      </c>
      <c r="R147" s="54" t="str">
        <f>_xlfn.XLOOKUP(Table4[[#This Row],[ref_id]],$AB$5:$AB$182,$AC$5:$AC$182)</f>
        <v>B</v>
      </c>
      <c r="AB147" s="55" t="s">
        <v>455</v>
      </c>
      <c r="AC147" s="55" t="s">
        <v>193</v>
      </c>
    </row>
    <row r="148" spans="1:29" ht="15.5" customHeight="1" x14ac:dyDescent="0.35">
      <c r="A148" s="42" t="s">
        <v>69</v>
      </c>
      <c r="B148" s="42" t="s">
        <v>474</v>
      </c>
      <c r="C148" s="42">
        <v>3</v>
      </c>
      <c r="D148" s="43">
        <v>1</v>
      </c>
      <c r="E148" s="40" t="s">
        <v>271</v>
      </c>
      <c r="F148" s="42" t="s">
        <v>160</v>
      </c>
      <c r="G148" s="44" t="s">
        <v>161</v>
      </c>
      <c r="H148" s="44" t="s">
        <v>162</v>
      </c>
      <c r="I148" s="44" t="s">
        <v>162</v>
      </c>
      <c r="J148" s="44" t="s">
        <v>162</v>
      </c>
      <c r="K148" s="44" t="s">
        <v>160</v>
      </c>
      <c r="L148" s="44">
        <v>220</v>
      </c>
      <c r="M148" s="44">
        <v>220</v>
      </c>
      <c r="N148" s="44">
        <v>3</v>
      </c>
      <c r="O148" s="44">
        <v>1</v>
      </c>
      <c r="P148" s="47">
        <v>6</v>
      </c>
      <c r="Q148" s="48">
        <v>32.81</v>
      </c>
      <c r="R148" s="54" t="str">
        <f>_xlfn.XLOOKUP(Table4[[#This Row],[ref_id]],$AB$5:$AB$182,$AC$5:$AC$182)</f>
        <v>B</v>
      </c>
      <c r="AB148" s="56" t="s">
        <v>449</v>
      </c>
      <c r="AC148" s="56" t="s">
        <v>193</v>
      </c>
    </row>
    <row r="149" spans="1:29" ht="15.5" customHeight="1" x14ac:dyDescent="0.35">
      <c r="A149" s="42" t="s">
        <v>43</v>
      </c>
      <c r="B149" s="42" t="s">
        <v>475</v>
      </c>
      <c r="C149" s="42">
        <v>3</v>
      </c>
      <c r="D149" s="43">
        <v>1</v>
      </c>
      <c r="E149" s="40" t="s">
        <v>271</v>
      </c>
      <c r="F149" s="42" t="s">
        <v>160</v>
      </c>
      <c r="G149" s="44" t="s">
        <v>161</v>
      </c>
      <c r="H149" s="44" t="s">
        <v>162</v>
      </c>
      <c r="I149" s="44" t="s">
        <v>162</v>
      </c>
      <c r="J149" s="44" t="s">
        <v>162</v>
      </c>
      <c r="K149" s="44" t="s">
        <v>160</v>
      </c>
      <c r="L149" s="44">
        <v>220</v>
      </c>
      <c r="M149" s="44">
        <v>220</v>
      </c>
      <c r="N149" s="44">
        <v>3</v>
      </c>
      <c r="O149" s="44">
        <v>1</v>
      </c>
      <c r="P149" s="47">
        <v>6</v>
      </c>
      <c r="Q149" s="48">
        <v>30.59</v>
      </c>
      <c r="R149" s="54" t="str">
        <f>_xlfn.XLOOKUP(Table4[[#This Row],[ref_id]],$AB$5:$AB$182,$AC$5:$AC$182)</f>
        <v>B</v>
      </c>
      <c r="AB149" s="55" t="s">
        <v>444</v>
      </c>
      <c r="AC149" s="55" t="s">
        <v>193</v>
      </c>
    </row>
    <row r="150" spans="1:29" ht="15.5" customHeight="1" x14ac:dyDescent="0.35">
      <c r="A150" s="42" t="s">
        <v>278</v>
      </c>
      <c r="B150" s="42" t="s">
        <v>476</v>
      </c>
      <c r="C150" s="42">
        <v>3</v>
      </c>
      <c r="D150" s="43">
        <v>1</v>
      </c>
      <c r="E150" s="40" t="s">
        <v>271</v>
      </c>
      <c r="F150" s="42" t="s">
        <v>160</v>
      </c>
      <c r="G150" s="44" t="s">
        <v>161</v>
      </c>
      <c r="H150" s="44" t="s">
        <v>162</v>
      </c>
      <c r="I150" s="44" t="s">
        <v>162</v>
      </c>
      <c r="J150" s="44" t="s">
        <v>162</v>
      </c>
      <c r="K150" s="44" t="s">
        <v>160</v>
      </c>
      <c r="L150" s="44">
        <v>220</v>
      </c>
      <c r="M150" s="44">
        <v>220</v>
      </c>
      <c r="N150" s="44">
        <v>3</v>
      </c>
      <c r="O150" s="44">
        <v>1</v>
      </c>
      <c r="P150" s="47">
        <v>6</v>
      </c>
      <c r="Q150" s="48">
        <v>32.35</v>
      </c>
      <c r="R150" s="54" t="str">
        <f>_xlfn.XLOOKUP(Table4[[#This Row],[ref_id]],$AB$5:$AB$182,$AC$5:$AC$182)</f>
        <v>B</v>
      </c>
      <c r="AB150" s="56" t="s">
        <v>316</v>
      </c>
      <c r="AC150" s="56" t="s">
        <v>193</v>
      </c>
    </row>
    <row r="151" spans="1:29" ht="15.5" customHeight="1" x14ac:dyDescent="0.35">
      <c r="A151" s="42" t="s">
        <v>44</v>
      </c>
      <c r="B151" s="42" t="s">
        <v>477</v>
      </c>
      <c r="C151" s="42">
        <v>2</v>
      </c>
      <c r="D151" s="43">
        <v>1</v>
      </c>
      <c r="E151" s="40" t="s">
        <v>159</v>
      </c>
      <c r="F151" s="42" t="s">
        <v>160</v>
      </c>
      <c r="G151" s="44" t="s">
        <v>160</v>
      </c>
      <c r="H151" s="44">
        <v>220</v>
      </c>
      <c r="I151" s="44">
        <v>3</v>
      </c>
      <c r="J151" s="44">
        <v>5</v>
      </c>
      <c r="K151" s="44" t="s">
        <v>161</v>
      </c>
      <c r="L151" s="44" t="s">
        <v>162</v>
      </c>
      <c r="M151" s="44" t="s">
        <v>162</v>
      </c>
      <c r="N151" s="44" t="s">
        <v>162</v>
      </c>
      <c r="O151" s="44" t="s">
        <v>162</v>
      </c>
      <c r="P151" s="47">
        <v>4.4000000000000004</v>
      </c>
      <c r="Q151" s="48">
        <v>26.32</v>
      </c>
      <c r="R151" s="54" t="str">
        <f>_xlfn.XLOOKUP(Table4[[#This Row],[ref_id]],$AB$5:$AB$182,$AC$5:$AC$182)</f>
        <v>B</v>
      </c>
      <c r="AB151" s="55" t="s">
        <v>296</v>
      </c>
      <c r="AC151" s="55" t="s">
        <v>193</v>
      </c>
    </row>
    <row r="152" spans="1:29" ht="15.5" customHeight="1" x14ac:dyDescent="0.35">
      <c r="A152" s="42" t="s">
        <v>45</v>
      </c>
      <c r="B152" s="42" t="s">
        <v>478</v>
      </c>
      <c r="C152" s="42">
        <v>2</v>
      </c>
      <c r="D152" s="43">
        <v>1</v>
      </c>
      <c r="E152" s="40" t="s">
        <v>159</v>
      </c>
      <c r="F152" s="42" t="s">
        <v>160</v>
      </c>
      <c r="G152" s="44" t="s">
        <v>160</v>
      </c>
      <c r="H152" s="44">
        <v>220</v>
      </c>
      <c r="I152" s="44">
        <v>3</v>
      </c>
      <c r="J152" s="44">
        <v>5</v>
      </c>
      <c r="K152" s="44" t="s">
        <v>161</v>
      </c>
      <c r="L152" s="44" t="s">
        <v>162</v>
      </c>
      <c r="M152" s="44" t="s">
        <v>162</v>
      </c>
      <c r="N152" s="44" t="s">
        <v>162</v>
      </c>
      <c r="O152" s="44" t="s">
        <v>162</v>
      </c>
      <c r="P152" s="47">
        <v>4.4000000000000004</v>
      </c>
      <c r="Q152" s="48">
        <v>23.46</v>
      </c>
      <c r="R152" s="54" t="str">
        <f>_xlfn.XLOOKUP(Table4[[#This Row],[ref_id]],$AB$5:$AB$182,$AC$5:$AC$182)</f>
        <v>C</v>
      </c>
      <c r="AB152" s="56" t="s">
        <v>287</v>
      </c>
      <c r="AC152" s="56" t="s">
        <v>193</v>
      </c>
    </row>
    <row r="153" spans="1:29" ht="15.5" customHeight="1" x14ac:dyDescent="0.35">
      <c r="A153" s="42" t="s">
        <v>46</v>
      </c>
      <c r="B153" s="42" t="s">
        <v>479</v>
      </c>
      <c r="C153" s="42">
        <v>2</v>
      </c>
      <c r="D153" s="43">
        <v>1</v>
      </c>
      <c r="E153" s="40" t="s">
        <v>159</v>
      </c>
      <c r="F153" s="42" t="s">
        <v>160</v>
      </c>
      <c r="G153" s="44" t="s">
        <v>160</v>
      </c>
      <c r="H153" s="44">
        <v>220</v>
      </c>
      <c r="I153" s="44">
        <v>3</v>
      </c>
      <c r="J153" s="44">
        <v>5</v>
      </c>
      <c r="K153" s="44" t="s">
        <v>161</v>
      </c>
      <c r="L153" s="44" t="s">
        <v>162</v>
      </c>
      <c r="M153" s="44" t="s">
        <v>162</v>
      </c>
      <c r="N153" s="44" t="s">
        <v>162</v>
      </c>
      <c r="O153" s="44" t="s">
        <v>162</v>
      </c>
      <c r="P153" s="47">
        <v>4.4000000000000004</v>
      </c>
      <c r="Q153" s="48">
        <v>24.75</v>
      </c>
      <c r="R153" s="54" t="str">
        <f>_xlfn.XLOOKUP(Table4[[#This Row],[ref_id]],$AB$5:$AB$182,$AC$5:$AC$182)</f>
        <v>A</v>
      </c>
      <c r="AB153" s="55" t="s">
        <v>426</v>
      </c>
      <c r="AC153" s="55" t="s">
        <v>193</v>
      </c>
    </row>
    <row r="154" spans="1:29" ht="15.5" customHeight="1" x14ac:dyDescent="0.35">
      <c r="A154" s="42" t="s">
        <v>47</v>
      </c>
      <c r="B154" s="42" t="s">
        <v>480</v>
      </c>
      <c r="C154" s="42">
        <v>2</v>
      </c>
      <c r="D154" s="43">
        <v>1</v>
      </c>
      <c r="E154" s="40" t="s">
        <v>159</v>
      </c>
      <c r="F154" s="42" t="s">
        <v>160</v>
      </c>
      <c r="G154" s="44" t="s">
        <v>160</v>
      </c>
      <c r="H154" s="44">
        <v>220</v>
      </c>
      <c r="I154" s="44">
        <v>3</v>
      </c>
      <c r="J154" s="44">
        <v>5</v>
      </c>
      <c r="K154" s="44" t="s">
        <v>161</v>
      </c>
      <c r="L154" s="44" t="s">
        <v>162</v>
      </c>
      <c r="M154" s="44" t="s">
        <v>162</v>
      </c>
      <c r="N154" s="44" t="s">
        <v>162</v>
      </c>
      <c r="O154" s="44" t="s">
        <v>162</v>
      </c>
      <c r="P154" s="47">
        <v>4.4000000000000004</v>
      </c>
      <c r="Q154" s="48">
        <v>23.46</v>
      </c>
      <c r="R154" s="54" t="str">
        <f>_xlfn.XLOOKUP(Table4[[#This Row],[ref_id]],$AB$5:$AB$182,$AC$5:$AC$182)</f>
        <v>C</v>
      </c>
      <c r="AB154" s="56" t="s">
        <v>28</v>
      </c>
      <c r="AC154" s="56" t="s">
        <v>193</v>
      </c>
    </row>
    <row r="155" spans="1:29" ht="15.5" customHeight="1" x14ac:dyDescent="0.35">
      <c r="A155" s="42" t="s">
        <v>48</v>
      </c>
      <c r="B155" s="42" t="s">
        <v>481</v>
      </c>
      <c r="C155" s="42">
        <v>2</v>
      </c>
      <c r="D155" s="43">
        <v>1</v>
      </c>
      <c r="E155" s="40" t="s">
        <v>159</v>
      </c>
      <c r="F155" s="42" t="s">
        <v>160</v>
      </c>
      <c r="G155" s="44" t="s">
        <v>161</v>
      </c>
      <c r="H155" s="44" t="s">
        <v>162</v>
      </c>
      <c r="I155" s="44" t="s">
        <v>162</v>
      </c>
      <c r="J155" s="44" t="s">
        <v>162</v>
      </c>
      <c r="K155" s="44" t="s">
        <v>160</v>
      </c>
      <c r="L155" s="44">
        <v>220</v>
      </c>
      <c r="M155" s="44">
        <v>220</v>
      </c>
      <c r="N155" s="44">
        <v>3</v>
      </c>
      <c r="O155" s="44">
        <v>1</v>
      </c>
      <c r="P155" s="47">
        <v>4.4000000000000004</v>
      </c>
      <c r="Q155" s="48">
        <v>26.32</v>
      </c>
      <c r="R155" s="54" t="str">
        <f>_xlfn.XLOOKUP(Table4[[#This Row],[ref_id]],$AB$5:$AB$182,$AC$5:$AC$182)</f>
        <v>B</v>
      </c>
      <c r="AB155" s="55" t="s">
        <v>430</v>
      </c>
      <c r="AC155" s="55" t="s">
        <v>193</v>
      </c>
    </row>
    <row r="156" spans="1:29" ht="15.5" customHeight="1" x14ac:dyDescent="0.35">
      <c r="A156" s="42" t="s">
        <v>429</v>
      </c>
      <c r="B156" s="42" t="s">
        <v>482</v>
      </c>
      <c r="C156" s="42">
        <v>2</v>
      </c>
      <c r="D156" s="43">
        <v>1</v>
      </c>
      <c r="E156" s="40" t="s">
        <v>159</v>
      </c>
      <c r="F156" s="42" t="s">
        <v>160</v>
      </c>
      <c r="G156" s="44" t="s">
        <v>161</v>
      </c>
      <c r="H156" s="44" t="s">
        <v>162</v>
      </c>
      <c r="I156" s="44" t="s">
        <v>162</v>
      </c>
      <c r="J156" s="44" t="s">
        <v>162</v>
      </c>
      <c r="K156" s="44" t="s">
        <v>160</v>
      </c>
      <c r="L156" s="44">
        <v>220</v>
      </c>
      <c r="M156" s="44">
        <v>220</v>
      </c>
      <c r="N156" s="44">
        <v>3</v>
      </c>
      <c r="O156" s="44">
        <v>1</v>
      </c>
      <c r="P156" s="47">
        <v>4.4000000000000004</v>
      </c>
      <c r="Q156" s="48">
        <v>23.46</v>
      </c>
      <c r="R156" s="54" t="str">
        <f>_xlfn.XLOOKUP(Table4[[#This Row],[ref_id]],$AB$5:$AB$182,$AC$5:$AC$182)</f>
        <v>C</v>
      </c>
      <c r="AB156" s="56" t="s">
        <v>483</v>
      </c>
      <c r="AC156" s="56" t="s">
        <v>193</v>
      </c>
    </row>
    <row r="157" spans="1:29" ht="15.5" customHeight="1" x14ac:dyDescent="0.35">
      <c r="A157" s="42" t="s">
        <v>49</v>
      </c>
      <c r="B157" s="42" t="s">
        <v>484</v>
      </c>
      <c r="C157" s="42">
        <v>2</v>
      </c>
      <c r="D157" s="43">
        <v>1</v>
      </c>
      <c r="E157" s="40" t="s">
        <v>226</v>
      </c>
      <c r="F157" s="42" t="s">
        <v>160</v>
      </c>
      <c r="G157" s="44" t="s">
        <v>161</v>
      </c>
      <c r="H157" s="44" t="s">
        <v>162</v>
      </c>
      <c r="I157" s="44" t="s">
        <v>162</v>
      </c>
      <c r="J157" s="44" t="s">
        <v>162</v>
      </c>
      <c r="K157" s="44" t="s">
        <v>160</v>
      </c>
      <c r="L157" s="44">
        <v>300</v>
      </c>
      <c r="M157" s="44">
        <v>300</v>
      </c>
      <c r="N157" s="44">
        <v>3</v>
      </c>
      <c r="O157" s="44">
        <v>1</v>
      </c>
      <c r="P157" s="47">
        <v>4</v>
      </c>
      <c r="Q157" s="48">
        <v>33.42</v>
      </c>
      <c r="R157" s="54" t="str">
        <f>_xlfn.XLOOKUP(Table4[[#This Row],[ref_id]],$AB$5:$AB$182,$AC$5:$AC$182)</f>
        <v>B</v>
      </c>
      <c r="AB157" s="55" t="s">
        <v>292</v>
      </c>
      <c r="AC157" s="55" t="s">
        <v>193</v>
      </c>
    </row>
    <row r="158" spans="1:29" ht="15.5" customHeight="1" x14ac:dyDescent="0.35">
      <c r="A158" s="42" t="s">
        <v>5</v>
      </c>
      <c r="B158" s="42" t="s">
        <v>485</v>
      </c>
      <c r="C158" s="42">
        <v>2</v>
      </c>
      <c r="D158" s="43">
        <v>1</v>
      </c>
      <c r="E158" s="40" t="s">
        <v>226</v>
      </c>
      <c r="F158" s="42" t="s">
        <v>160</v>
      </c>
      <c r="G158" s="44" t="s">
        <v>161</v>
      </c>
      <c r="H158" s="44" t="s">
        <v>162</v>
      </c>
      <c r="I158" s="44" t="s">
        <v>162</v>
      </c>
      <c r="J158" s="44" t="s">
        <v>162</v>
      </c>
      <c r="K158" s="44" t="s">
        <v>160</v>
      </c>
      <c r="L158" s="44">
        <v>1824</v>
      </c>
      <c r="M158" s="44">
        <v>1824</v>
      </c>
      <c r="N158" s="44">
        <v>2</v>
      </c>
      <c r="O158" s="44">
        <v>1</v>
      </c>
      <c r="P158" s="47">
        <v>2.88</v>
      </c>
      <c r="Q158" s="48">
        <v>16.989999999999998</v>
      </c>
      <c r="R158" s="54" t="str">
        <f>_xlfn.XLOOKUP(Table4[[#This Row],[ref_id]],$AB$5:$AB$182,$AC$5:$AC$182)</f>
        <v>B</v>
      </c>
      <c r="AB158" s="56" t="s">
        <v>406</v>
      </c>
      <c r="AC158" s="56" t="s">
        <v>193</v>
      </c>
    </row>
    <row r="159" spans="1:29" ht="15.5" customHeight="1" x14ac:dyDescent="0.35">
      <c r="A159" s="42" t="s">
        <v>345</v>
      </c>
      <c r="B159" s="42" t="s">
        <v>486</v>
      </c>
      <c r="C159" s="42">
        <v>2</v>
      </c>
      <c r="D159" s="43">
        <v>0</v>
      </c>
      <c r="E159" s="40" t="s">
        <v>210</v>
      </c>
      <c r="F159" s="42" t="s">
        <v>160</v>
      </c>
      <c r="G159" s="44" t="s">
        <v>161</v>
      </c>
      <c r="H159" s="44" t="s">
        <v>162</v>
      </c>
      <c r="I159" s="44" t="s">
        <v>162</v>
      </c>
      <c r="J159" s="44" t="s">
        <v>162</v>
      </c>
      <c r="K159" s="44" t="s">
        <v>161</v>
      </c>
      <c r="L159" s="44" t="s">
        <v>162</v>
      </c>
      <c r="M159" s="44" t="s">
        <v>162</v>
      </c>
      <c r="N159" s="44" t="s">
        <v>162</v>
      </c>
      <c r="O159" s="44" t="s">
        <v>162</v>
      </c>
      <c r="P159" s="47">
        <v>2.1</v>
      </c>
      <c r="Q159" s="48">
        <v>40.909999999999997</v>
      </c>
      <c r="R159" s="54" t="str">
        <f>_xlfn.XLOOKUP(Table4[[#This Row],[ref_id]],$AB$5:$AB$182,$AC$5:$AC$182)</f>
        <v>C</v>
      </c>
      <c r="AB159" s="55" t="s">
        <v>408</v>
      </c>
      <c r="AC159" s="55" t="s">
        <v>193</v>
      </c>
    </row>
    <row r="160" spans="1:29" ht="15.5" customHeight="1" x14ac:dyDescent="0.35">
      <c r="A160" s="42" t="s">
        <v>8</v>
      </c>
      <c r="B160" s="42" t="s">
        <v>487</v>
      </c>
      <c r="C160" s="42">
        <v>30</v>
      </c>
      <c r="D160" s="43">
        <v>1</v>
      </c>
      <c r="E160" s="40" t="s">
        <v>226</v>
      </c>
      <c r="F160" s="42" t="s">
        <v>160</v>
      </c>
      <c r="G160" s="44" t="s">
        <v>161</v>
      </c>
      <c r="H160" s="44" t="s">
        <v>162</v>
      </c>
      <c r="I160" s="44" t="s">
        <v>162</v>
      </c>
      <c r="J160" s="44" t="s">
        <v>162</v>
      </c>
      <c r="K160" s="44" t="s">
        <v>160</v>
      </c>
      <c r="L160" s="44">
        <v>240</v>
      </c>
      <c r="M160" s="44">
        <v>240</v>
      </c>
      <c r="N160" s="44">
        <v>4</v>
      </c>
      <c r="O160" s="44">
        <v>1</v>
      </c>
      <c r="P160" s="47">
        <v>1.8</v>
      </c>
      <c r="Q160" s="48">
        <v>9.85</v>
      </c>
      <c r="R160" s="54" t="str">
        <f>_xlfn.XLOOKUP(Table4[[#This Row],[ref_id]],$AB$5:$AB$182,$AC$5:$AC$182)</f>
        <v>C</v>
      </c>
      <c r="AB160" s="56" t="s">
        <v>488</v>
      </c>
      <c r="AC160" s="56" t="s">
        <v>193</v>
      </c>
    </row>
    <row r="161" spans="1:29" ht="15.5" customHeight="1" x14ac:dyDescent="0.35">
      <c r="A161" s="42" t="s">
        <v>72</v>
      </c>
      <c r="B161" s="42" t="s">
        <v>489</v>
      </c>
      <c r="C161" s="42">
        <v>30</v>
      </c>
      <c r="D161" s="43">
        <v>1</v>
      </c>
      <c r="E161" s="40" t="s">
        <v>226</v>
      </c>
      <c r="F161" s="42" t="s">
        <v>160</v>
      </c>
      <c r="G161" s="44" t="s">
        <v>161</v>
      </c>
      <c r="H161" s="44" t="s">
        <v>162</v>
      </c>
      <c r="I161" s="44" t="s">
        <v>162</v>
      </c>
      <c r="J161" s="44" t="s">
        <v>162</v>
      </c>
      <c r="K161" s="44" t="s">
        <v>160</v>
      </c>
      <c r="L161" s="44">
        <v>960</v>
      </c>
      <c r="M161" s="44">
        <v>960</v>
      </c>
      <c r="N161" s="44">
        <v>4</v>
      </c>
      <c r="O161" s="44">
        <v>1</v>
      </c>
      <c r="P161" s="47">
        <v>1.8</v>
      </c>
      <c r="Q161" s="48">
        <v>15.68</v>
      </c>
      <c r="R161" s="54" t="str">
        <f>_xlfn.XLOOKUP(Table4[[#This Row],[ref_id]],$AB$5:$AB$182,$AC$5:$AC$182)</f>
        <v>B</v>
      </c>
      <c r="AB161" s="55" t="s">
        <v>174</v>
      </c>
      <c r="AC161" s="55" t="s">
        <v>193</v>
      </c>
    </row>
    <row r="162" spans="1:29" ht="15.5" customHeight="1" x14ac:dyDescent="0.35">
      <c r="A162" s="42" t="s">
        <v>61</v>
      </c>
      <c r="B162" s="42" t="s">
        <v>490</v>
      </c>
      <c r="C162" s="42">
        <v>24</v>
      </c>
      <c r="D162" s="43">
        <v>1</v>
      </c>
      <c r="E162" s="40" t="s">
        <v>223</v>
      </c>
      <c r="F162" s="42" t="s">
        <v>160</v>
      </c>
      <c r="G162" s="44" t="s">
        <v>161</v>
      </c>
      <c r="H162" s="44" t="s">
        <v>162</v>
      </c>
      <c r="I162" s="44" t="s">
        <v>162</v>
      </c>
      <c r="J162" s="44" t="s">
        <v>162</v>
      </c>
      <c r="K162" s="44" t="s">
        <v>160</v>
      </c>
      <c r="L162" s="44">
        <v>1824</v>
      </c>
      <c r="M162" s="44">
        <v>1140</v>
      </c>
      <c r="N162" s="44">
        <v>7</v>
      </c>
      <c r="O162" s="44">
        <v>5</v>
      </c>
      <c r="P162" s="47">
        <v>4.8</v>
      </c>
      <c r="Q162" s="48">
        <v>28.96</v>
      </c>
      <c r="R162" s="54" t="str">
        <f>_xlfn.XLOOKUP(Table4[[#This Row],[ref_id]],$AB$5:$AB$182,$AC$5:$AC$182)</f>
        <v>A</v>
      </c>
      <c r="AB162" s="56" t="s">
        <v>491</v>
      </c>
      <c r="AC162" s="56" t="s">
        <v>193</v>
      </c>
    </row>
    <row r="163" spans="1:29" ht="15.5" customHeight="1" x14ac:dyDescent="0.35">
      <c r="A163" s="42" t="s">
        <v>53</v>
      </c>
      <c r="B163" s="42" t="s">
        <v>492</v>
      </c>
      <c r="C163" s="42">
        <v>2</v>
      </c>
      <c r="D163" s="43">
        <v>1</v>
      </c>
      <c r="E163" s="40" t="s">
        <v>223</v>
      </c>
      <c r="F163" s="42" t="s">
        <v>160</v>
      </c>
      <c r="G163" s="44" t="s">
        <v>161</v>
      </c>
      <c r="H163" s="44" t="s">
        <v>162</v>
      </c>
      <c r="I163" s="44" t="s">
        <v>162</v>
      </c>
      <c r="J163" s="44" t="s">
        <v>162</v>
      </c>
      <c r="K163" s="44" t="s">
        <v>160</v>
      </c>
      <c r="L163" s="44">
        <v>152</v>
      </c>
      <c r="M163" s="44">
        <v>95</v>
      </c>
      <c r="N163" s="44">
        <v>3</v>
      </c>
      <c r="O163" s="44">
        <v>5</v>
      </c>
      <c r="P163" s="47">
        <v>3.84</v>
      </c>
      <c r="Q163" s="48">
        <v>25.39</v>
      </c>
      <c r="R163" s="54" t="str">
        <f>_xlfn.XLOOKUP(Table4[[#This Row],[ref_id]],$AB$5:$AB$182,$AC$5:$AC$182)</f>
        <v>C</v>
      </c>
      <c r="AB163" s="55" t="s">
        <v>493</v>
      </c>
      <c r="AC163" s="55" t="s">
        <v>193</v>
      </c>
    </row>
    <row r="164" spans="1:29" ht="15.5" customHeight="1" x14ac:dyDescent="0.35">
      <c r="A164" s="42" t="s">
        <v>14</v>
      </c>
      <c r="B164" s="42" t="s">
        <v>494</v>
      </c>
      <c r="C164" s="42">
        <v>21</v>
      </c>
      <c r="D164" s="43">
        <v>0</v>
      </c>
      <c r="E164" s="40" t="s">
        <v>295</v>
      </c>
      <c r="F164" s="42" t="s">
        <v>160</v>
      </c>
      <c r="G164" s="44" t="s">
        <v>160</v>
      </c>
      <c r="H164" s="44">
        <v>2268</v>
      </c>
      <c r="I164" s="44">
        <v>8</v>
      </c>
      <c r="J164" s="44">
        <v>4</v>
      </c>
      <c r="K164" s="44" t="s">
        <v>161</v>
      </c>
      <c r="L164" s="44" t="s">
        <v>162</v>
      </c>
      <c r="M164" s="44" t="s">
        <v>162</v>
      </c>
      <c r="N164" s="44" t="s">
        <v>162</v>
      </c>
      <c r="O164" s="44" t="s">
        <v>162</v>
      </c>
      <c r="P164" s="47">
        <v>2.625</v>
      </c>
      <c r="Q164" s="48">
        <v>15.67</v>
      </c>
      <c r="R164" s="54" t="str">
        <f>_xlfn.XLOOKUP(Table4[[#This Row],[ref_id]],$AB$5:$AB$182,$AC$5:$AC$182)</f>
        <v>C</v>
      </c>
      <c r="AB164" s="56" t="s">
        <v>15</v>
      </c>
      <c r="AC164" s="56" t="s">
        <v>193</v>
      </c>
    </row>
    <row r="165" spans="1:29" ht="15.5" customHeight="1" x14ac:dyDescent="0.35">
      <c r="A165" s="42" t="s">
        <v>442</v>
      </c>
      <c r="B165" s="42" t="s">
        <v>495</v>
      </c>
      <c r="C165" s="42">
        <v>24</v>
      </c>
      <c r="D165" s="43">
        <v>1</v>
      </c>
      <c r="E165" s="40" t="s">
        <v>223</v>
      </c>
      <c r="F165" s="42" t="s">
        <v>160</v>
      </c>
      <c r="G165" s="44" t="s">
        <v>161</v>
      </c>
      <c r="H165" s="44" t="s">
        <v>162</v>
      </c>
      <c r="I165" s="44" t="s">
        <v>162</v>
      </c>
      <c r="J165" s="44" t="s">
        <v>162</v>
      </c>
      <c r="K165" s="44" t="s">
        <v>160</v>
      </c>
      <c r="L165" s="44">
        <v>1184</v>
      </c>
      <c r="M165" s="44">
        <v>1140</v>
      </c>
      <c r="N165" s="44">
        <v>7</v>
      </c>
      <c r="O165" s="44">
        <v>5</v>
      </c>
      <c r="P165" s="47">
        <v>2.16</v>
      </c>
      <c r="Q165" s="48">
        <v>17.02</v>
      </c>
      <c r="R165" s="54" t="str">
        <f>_xlfn.XLOOKUP(Table4[[#This Row],[ref_id]],$AB$5:$AB$182,$AC$5:$AC$182)</f>
        <v>C</v>
      </c>
      <c r="AB165" s="55" t="s">
        <v>265</v>
      </c>
      <c r="AC165" s="55" t="s">
        <v>193</v>
      </c>
    </row>
    <row r="166" spans="1:29" ht="15.5" customHeight="1" x14ac:dyDescent="0.35">
      <c r="A166" s="42" t="s">
        <v>496</v>
      </c>
      <c r="B166" s="42" t="s">
        <v>497</v>
      </c>
      <c r="C166" s="42">
        <v>21</v>
      </c>
      <c r="D166" s="43">
        <v>0</v>
      </c>
      <c r="E166" s="40" t="s">
        <v>295</v>
      </c>
      <c r="F166" s="42" t="s">
        <v>160</v>
      </c>
      <c r="G166" s="44" t="s">
        <v>160</v>
      </c>
      <c r="H166" s="44">
        <v>2268</v>
      </c>
      <c r="I166" s="44">
        <v>9</v>
      </c>
      <c r="J166" s="44">
        <v>6</v>
      </c>
      <c r="K166" s="44" t="s">
        <v>161</v>
      </c>
      <c r="L166" s="44" t="s">
        <v>162</v>
      </c>
      <c r="M166" s="44" t="s">
        <v>162</v>
      </c>
      <c r="N166" s="44" t="s">
        <v>162</v>
      </c>
      <c r="O166" s="44" t="s">
        <v>162</v>
      </c>
      <c r="P166" s="47">
        <v>2.1</v>
      </c>
      <c r="Q166" s="48">
        <v>14.29</v>
      </c>
      <c r="R166" s="54" t="s">
        <v>193</v>
      </c>
      <c r="AB166" s="56" t="s">
        <v>498</v>
      </c>
      <c r="AC166" s="56" t="s">
        <v>193</v>
      </c>
    </row>
    <row r="167" spans="1:29" ht="15.5" customHeight="1" x14ac:dyDescent="0.35">
      <c r="A167" s="42" t="s">
        <v>470</v>
      </c>
      <c r="B167" s="42" t="s">
        <v>499</v>
      </c>
      <c r="C167" s="42">
        <v>21</v>
      </c>
      <c r="D167" s="43">
        <v>0</v>
      </c>
      <c r="E167" s="40" t="s">
        <v>295</v>
      </c>
      <c r="F167" s="42" t="s">
        <v>160</v>
      </c>
      <c r="G167" s="44" t="s">
        <v>160</v>
      </c>
      <c r="H167" s="44">
        <v>2268</v>
      </c>
      <c r="I167" s="44">
        <v>9</v>
      </c>
      <c r="J167" s="44">
        <v>5</v>
      </c>
      <c r="K167" s="44" t="s">
        <v>161</v>
      </c>
      <c r="L167" s="44" t="s">
        <v>162</v>
      </c>
      <c r="M167" s="44" t="s">
        <v>162</v>
      </c>
      <c r="N167" s="44" t="s">
        <v>162</v>
      </c>
      <c r="O167" s="44" t="s">
        <v>162</v>
      </c>
      <c r="P167" s="47">
        <v>2.1</v>
      </c>
      <c r="Q167" s="48">
        <v>14.86</v>
      </c>
      <c r="R167" s="54" t="str">
        <f>_xlfn.XLOOKUP(Table4[[#This Row],[ref_id]],$AB$5:$AB$182,$AC$5:$AC$182)</f>
        <v>C</v>
      </c>
      <c r="AB167" s="55" t="s">
        <v>433</v>
      </c>
      <c r="AC167" s="55" t="s">
        <v>193</v>
      </c>
    </row>
    <row r="168" spans="1:29" ht="15.5" customHeight="1" x14ac:dyDescent="0.35">
      <c r="A168" s="42" t="s">
        <v>500</v>
      </c>
      <c r="B168" s="42" t="s">
        <v>501</v>
      </c>
      <c r="C168" s="42">
        <v>21</v>
      </c>
      <c r="D168" s="43">
        <v>0</v>
      </c>
      <c r="E168" s="40" t="s">
        <v>295</v>
      </c>
      <c r="F168" s="42" t="s">
        <v>160</v>
      </c>
      <c r="G168" s="44" t="s">
        <v>160</v>
      </c>
      <c r="H168" s="44">
        <v>2268</v>
      </c>
      <c r="I168" s="44">
        <v>9</v>
      </c>
      <c r="J168" s="44">
        <v>6</v>
      </c>
      <c r="K168" s="44" t="s">
        <v>161</v>
      </c>
      <c r="L168" s="44" t="s">
        <v>162</v>
      </c>
      <c r="M168" s="44" t="s">
        <v>162</v>
      </c>
      <c r="N168" s="44" t="s">
        <v>162</v>
      </c>
      <c r="O168" s="44" t="s">
        <v>162</v>
      </c>
      <c r="P168" s="47">
        <v>2.1</v>
      </c>
      <c r="Q168" s="48">
        <v>14.57</v>
      </c>
      <c r="R168" s="54" t="s">
        <v>193</v>
      </c>
      <c r="AB168" s="56" t="s">
        <v>502</v>
      </c>
      <c r="AC168" s="56" t="s">
        <v>193</v>
      </c>
    </row>
    <row r="169" spans="1:29" ht="15.5" customHeight="1" x14ac:dyDescent="0.35">
      <c r="A169" s="42" t="s">
        <v>472</v>
      </c>
      <c r="B169" s="42" t="s">
        <v>503</v>
      </c>
      <c r="C169" s="42">
        <v>21</v>
      </c>
      <c r="D169" s="43">
        <v>0</v>
      </c>
      <c r="E169" s="40" t="s">
        <v>295</v>
      </c>
      <c r="F169" s="42" t="s">
        <v>160</v>
      </c>
      <c r="G169" s="44" t="s">
        <v>160</v>
      </c>
      <c r="H169" s="44">
        <v>2268</v>
      </c>
      <c r="I169" s="44">
        <v>9</v>
      </c>
      <c r="J169" s="44">
        <v>6</v>
      </c>
      <c r="K169" s="44" t="s">
        <v>161</v>
      </c>
      <c r="L169" s="44" t="s">
        <v>162</v>
      </c>
      <c r="M169" s="44" t="s">
        <v>162</v>
      </c>
      <c r="N169" s="44" t="s">
        <v>162</v>
      </c>
      <c r="O169" s="44" t="s">
        <v>162</v>
      </c>
      <c r="P169" s="47">
        <v>1.89</v>
      </c>
      <c r="Q169" s="48">
        <v>16.559999999999999</v>
      </c>
      <c r="R169" s="54" t="str">
        <f>_xlfn.XLOOKUP(Table4[[#This Row],[ref_id]],$AB$5:$AB$182,$AC$5:$AC$182)</f>
        <v>C</v>
      </c>
      <c r="AB169" s="55" t="s">
        <v>504</v>
      </c>
      <c r="AC169" s="55" t="s">
        <v>193</v>
      </c>
    </row>
    <row r="170" spans="1:29" ht="15.5" customHeight="1" x14ac:dyDescent="0.35">
      <c r="A170" s="42" t="s">
        <v>505</v>
      </c>
      <c r="B170" s="42" t="s">
        <v>506</v>
      </c>
      <c r="C170" s="42">
        <v>32</v>
      </c>
      <c r="D170" s="43">
        <v>1</v>
      </c>
      <c r="E170" s="40" t="s">
        <v>223</v>
      </c>
      <c r="F170" s="42" t="s">
        <v>160</v>
      </c>
      <c r="G170" s="44" t="s">
        <v>161</v>
      </c>
      <c r="H170" s="44" t="s">
        <v>162</v>
      </c>
      <c r="I170" s="44" t="s">
        <v>162</v>
      </c>
      <c r="J170" s="44" t="s">
        <v>162</v>
      </c>
      <c r="K170" s="44" t="s">
        <v>161</v>
      </c>
      <c r="L170" s="44" t="s">
        <v>162</v>
      </c>
      <c r="M170" s="44" t="s">
        <v>162</v>
      </c>
      <c r="N170" s="44" t="s">
        <v>162</v>
      </c>
      <c r="O170" s="44" t="s">
        <v>162</v>
      </c>
      <c r="P170" s="47">
        <v>2.88</v>
      </c>
      <c r="Q170" s="48">
        <v>28.8</v>
      </c>
      <c r="R170" s="54" t="str">
        <f>_xlfn.XLOOKUP(Table4[[#This Row],[ref_id]],$AB$5:$AB$182,$AC$5:$AC$182)</f>
        <v>C</v>
      </c>
      <c r="AB170" s="56" t="s">
        <v>507</v>
      </c>
      <c r="AC170" s="56" t="s">
        <v>193</v>
      </c>
    </row>
    <row r="171" spans="1:29" ht="15.5" customHeight="1" x14ac:dyDescent="0.35">
      <c r="A171" s="42" t="s">
        <v>17</v>
      </c>
      <c r="B171" s="42" t="s">
        <v>508</v>
      </c>
      <c r="C171" s="42">
        <v>2</v>
      </c>
      <c r="D171" s="43">
        <v>0</v>
      </c>
      <c r="E171" s="40" t="s">
        <v>295</v>
      </c>
      <c r="F171" s="42" t="s">
        <v>160</v>
      </c>
      <c r="G171" s="44" t="s">
        <v>160</v>
      </c>
      <c r="H171" s="44">
        <v>2268</v>
      </c>
      <c r="I171" s="44">
        <v>3</v>
      </c>
      <c r="J171" s="44">
        <v>3</v>
      </c>
      <c r="K171" s="44" t="s">
        <v>160</v>
      </c>
      <c r="L171" s="44">
        <v>2268</v>
      </c>
      <c r="M171" s="44">
        <v>2268</v>
      </c>
      <c r="N171" s="44">
        <v>3</v>
      </c>
      <c r="O171" s="44">
        <v>3</v>
      </c>
      <c r="P171" s="47">
        <v>2</v>
      </c>
      <c r="Q171" s="48">
        <v>43.05</v>
      </c>
      <c r="R171" s="54" t="str">
        <f>_xlfn.XLOOKUP(Table4[[#This Row],[ref_id]],$AB$5:$AB$182,$AC$5:$AC$182)</f>
        <v>C</v>
      </c>
      <c r="AB171" s="55" t="s">
        <v>451</v>
      </c>
      <c r="AC171" s="55" t="s">
        <v>193</v>
      </c>
    </row>
    <row r="172" spans="1:29" ht="15.5" customHeight="1" x14ac:dyDescent="0.35">
      <c r="A172" s="42" t="s">
        <v>319</v>
      </c>
      <c r="B172" s="42" t="s">
        <v>509</v>
      </c>
      <c r="C172" s="42">
        <v>4</v>
      </c>
      <c r="D172" s="43">
        <v>0</v>
      </c>
      <c r="E172" s="40" t="s">
        <v>249</v>
      </c>
      <c r="F172" s="42" t="s">
        <v>160</v>
      </c>
      <c r="G172" s="44" t="s">
        <v>160</v>
      </c>
      <c r="H172" s="44">
        <v>300</v>
      </c>
      <c r="I172" s="44">
        <v>3</v>
      </c>
      <c r="J172" s="44">
        <v>7</v>
      </c>
      <c r="K172" s="44" t="s">
        <v>161</v>
      </c>
      <c r="L172" s="44" t="s">
        <v>162</v>
      </c>
      <c r="M172" s="44" t="s">
        <v>162</v>
      </c>
      <c r="N172" s="44" t="s">
        <v>162</v>
      </c>
      <c r="O172" s="44" t="s">
        <v>162</v>
      </c>
      <c r="P172" s="47">
        <v>3.4</v>
      </c>
      <c r="Q172" s="48">
        <v>32.17</v>
      </c>
      <c r="R172" s="54" t="str">
        <f>_xlfn.XLOOKUP(Table4[[#This Row],[ref_id]],$AB$5:$AB$182,$AC$5:$AC$182)</f>
        <v>B</v>
      </c>
      <c r="AB172" s="56" t="s">
        <v>459</v>
      </c>
      <c r="AC172" s="56" t="s">
        <v>193</v>
      </c>
    </row>
    <row r="173" spans="1:29" ht="15.5" customHeight="1" x14ac:dyDescent="0.35">
      <c r="A173" s="42" t="s">
        <v>216</v>
      </c>
      <c r="B173" s="42" t="s">
        <v>510</v>
      </c>
      <c r="C173" s="42">
        <v>4</v>
      </c>
      <c r="D173" s="43">
        <v>0</v>
      </c>
      <c r="E173" s="40" t="s">
        <v>249</v>
      </c>
      <c r="F173" s="42" t="s">
        <v>160</v>
      </c>
      <c r="G173" s="44" t="s">
        <v>160</v>
      </c>
      <c r="H173" s="44">
        <v>300</v>
      </c>
      <c r="I173" s="44">
        <v>3</v>
      </c>
      <c r="J173" s="44">
        <v>7</v>
      </c>
      <c r="K173" s="44" t="s">
        <v>161</v>
      </c>
      <c r="L173" s="44" t="s">
        <v>162</v>
      </c>
      <c r="M173" s="44" t="s">
        <v>162</v>
      </c>
      <c r="N173" s="44" t="s">
        <v>162</v>
      </c>
      <c r="O173" s="44" t="s">
        <v>162</v>
      </c>
      <c r="P173" s="47">
        <v>3.4</v>
      </c>
      <c r="Q173" s="48">
        <v>32.17</v>
      </c>
      <c r="R173" s="54" t="str">
        <f>_xlfn.XLOOKUP(Table4[[#This Row],[ref_id]],$AB$5:$AB$182,$AC$5:$AC$182)</f>
        <v>B</v>
      </c>
      <c r="AB173" s="55" t="s">
        <v>437</v>
      </c>
      <c r="AC173" s="55" t="s">
        <v>193</v>
      </c>
    </row>
    <row r="174" spans="1:29" ht="15.5" customHeight="1" x14ac:dyDescent="0.35">
      <c r="A174" s="42" t="s">
        <v>511</v>
      </c>
      <c r="B174" s="42" t="s">
        <v>512</v>
      </c>
      <c r="C174" s="42">
        <v>1</v>
      </c>
      <c r="D174" s="43">
        <v>1</v>
      </c>
      <c r="E174" s="40" t="s">
        <v>260</v>
      </c>
      <c r="F174" s="42" t="s">
        <v>160</v>
      </c>
      <c r="G174" s="44" t="s">
        <v>160</v>
      </c>
      <c r="H174" s="44">
        <v>250</v>
      </c>
      <c r="I174" s="44">
        <v>5</v>
      </c>
      <c r="J174" s="44">
        <v>8</v>
      </c>
      <c r="K174" s="44" t="s">
        <v>161</v>
      </c>
      <c r="L174" s="44" t="s">
        <v>162</v>
      </c>
      <c r="M174" s="44" t="s">
        <v>162</v>
      </c>
      <c r="N174" s="44" t="s">
        <v>162</v>
      </c>
      <c r="O174" s="44" t="s">
        <v>162</v>
      </c>
      <c r="P174" s="47">
        <v>1.5</v>
      </c>
      <c r="Q174" s="48">
        <v>8.8000000000000007</v>
      </c>
      <c r="R174" s="54" t="s">
        <v>163</v>
      </c>
      <c r="AB174" s="56" t="s">
        <v>360</v>
      </c>
      <c r="AC174" s="56" t="s">
        <v>193</v>
      </c>
    </row>
    <row r="175" spans="1:29" ht="15.5" customHeight="1" x14ac:dyDescent="0.35">
      <c r="A175" s="42" t="s">
        <v>513</v>
      </c>
      <c r="B175" s="42" t="s">
        <v>514</v>
      </c>
      <c r="C175" s="42">
        <v>1</v>
      </c>
      <c r="D175" s="43">
        <v>1</v>
      </c>
      <c r="E175" s="40" t="s">
        <v>260</v>
      </c>
      <c r="F175" s="42" t="s">
        <v>160</v>
      </c>
      <c r="G175" s="44" t="s">
        <v>160</v>
      </c>
      <c r="H175" s="44">
        <v>250</v>
      </c>
      <c r="I175" s="44">
        <v>5</v>
      </c>
      <c r="J175" s="44">
        <v>8</v>
      </c>
      <c r="K175" s="44" t="s">
        <v>161</v>
      </c>
      <c r="L175" s="44" t="s">
        <v>162</v>
      </c>
      <c r="M175" s="44" t="s">
        <v>162</v>
      </c>
      <c r="N175" s="44" t="s">
        <v>162</v>
      </c>
      <c r="O175" s="44" t="s">
        <v>162</v>
      </c>
      <c r="P175" s="47">
        <v>1.5</v>
      </c>
      <c r="Q175" s="48">
        <v>8.8000000000000007</v>
      </c>
      <c r="R175" s="54" t="s">
        <v>163</v>
      </c>
      <c r="AB175" s="55" t="s">
        <v>378</v>
      </c>
      <c r="AC175" s="55" t="s">
        <v>193</v>
      </c>
    </row>
    <row r="176" spans="1:29" ht="15.5" customHeight="1" x14ac:dyDescent="0.35">
      <c r="A176" s="42" t="s">
        <v>515</v>
      </c>
      <c r="B176" s="42" t="s">
        <v>516</v>
      </c>
      <c r="C176" s="42">
        <v>2</v>
      </c>
      <c r="D176" s="43">
        <v>1</v>
      </c>
      <c r="E176" s="40" t="s">
        <v>183</v>
      </c>
      <c r="F176" s="42" t="s">
        <v>160</v>
      </c>
      <c r="G176" s="44" t="s">
        <v>160</v>
      </c>
      <c r="H176" s="44">
        <v>134</v>
      </c>
      <c r="I176" s="44">
        <v>4</v>
      </c>
      <c r="J176" s="44">
        <v>2</v>
      </c>
      <c r="K176" s="44" t="s">
        <v>161</v>
      </c>
      <c r="L176" s="44" t="s">
        <v>162</v>
      </c>
      <c r="M176" s="44" t="s">
        <v>162</v>
      </c>
      <c r="N176" s="44" t="s">
        <v>162</v>
      </c>
      <c r="O176" s="44" t="s">
        <v>162</v>
      </c>
      <c r="P176" s="47">
        <v>2</v>
      </c>
      <c r="Q176" s="48">
        <v>19.5</v>
      </c>
      <c r="R176" s="54" t="s">
        <v>193</v>
      </c>
      <c r="AB176" s="56" t="s">
        <v>517</v>
      </c>
      <c r="AC176" s="56" t="s">
        <v>193</v>
      </c>
    </row>
    <row r="177" spans="1:29" ht="15.5" customHeight="1" x14ac:dyDescent="0.35">
      <c r="A177" s="42" t="s">
        <v>33</v>
      </c>
      <c r="B177" s="42" t="s">
        <v>518</v>
      </c>
      <c r="C177" s="42">
        <v>2</v>
      </c>
      <c r="D177" s="43">
        <v>0</v>
      </c>
      <c r="E177" s="40" t="s">
        <v>206</v>
      </c>
      <c r="F177" s="42" t="s">
        <v>160</v>
      </c>
      <c r="G177" s="44" t="s">
        <v>160</v>
      </c>
      <c r="H177" s="44">
        <v>180</v>
      </c>
      <c r="I177" s="44">
        <v>4</v>
      </c>
      <c r="J177" s="44">
        <v>8</v>
      </c>
      <c r="K177" s="44" t="s">
        <v>161</v>
      </c>
      <c r="L177" s="44" t="s">
        <v>162</v>
      </c>
      <c r="M177" s="44" t="s">
        <v>162</v>
      </c>
      <c r="N177" s="44" t="s">
        <v>162</v>
      </c>
      <c r="O177" s="44" t="s">
        <v>162</v>
      </c>
      <c r="P177" s="47">
        <v>3</v>
      </c>
      <c r="Q177" s="48">
        <v>21.55</v>
      </c>
      <c r="R177" s="54" t="str">
        <f>_xlfn.XLOOKUP(Table4[[#This Row],[ref_id]],$AB$5:$AB$182,$AC$5:$AC$182)</f>
        <v>C</v>
      </c>
      <c r="AB177" s="55" t="s">
        <v>505</v>
      </c>
      <c r="AC177" s="55" t="s">
        <v>193</v>
      </c>
    </row>
    <row r="178" spans="1:29" ht="15.5" customHeight="1" x14ac:dyDescent="0.35">
      <c r="A178" s="42" t="s">
        <v>491</v>
      </c>
      <c r="B178" s="42" t="s">
        <v>519</v>
      </c>
      <c r="C178" s="42">
        <v>24</v>
      </c>
      <c r="D178" s="43">
        <v>1</v>
      </c>
      <c r="E178" s="40" t="s">
        <v>232</v>
      </c>
      <c r="F178" s="42" t="s">
        <v>160</v>
      </c>
      <c r="G178" s="44" t="s">
        <v>160</v>
      </c>
      <c r="H178" s="44">
        <v>1200</v>
      </c>
      <c r="I178" s="44">
        <v>8</v>
      </c>
      <c r="J178" s="44">
        <v>7</v>
      </c>
      <c r="K178" s="44" t="s">
        <v>161</v>
      </c>
      <c r="L178" s="44" t="s">
        <v>162</v>
      </c>
      <c r="M178" s="44" t="s">
        <v>162</v>
      </c>
      <c r="N178" s="44" t="s">
        <v>162</v>
      </c>
      <c r="O178" s="44" t="s">
        <v>162</v>
      </c>
      <c r="P178" s="47">
        <v>4.32</v>
      </c>
      <c r="Q178" s="48">
        <v>19.02</v>
      </c>
      <c r="R178" s="54" t="str">
        <f>_xlfn.XLOOKUP(Table4[[#This Row],[ref_id]],$AB$5:$AB$182,$AC$5:$AC$182)</f>
        <v>C</v>
      </c>
      <c r="AB178" s="56" t="s">
        <v>520</v>
      </c>
      <c r="AC178" s="56" t="s">
        <v>162</v>
      </c>
    </row>
    <row r="179" spans="1:29" ht="15.5" customHeight="1" x14ac:dyDescent="0.35">
      <c r="A179" s="42" t="s">
        <v>502</v>
      </c>
      <c r="B179" s="42" t="s">
        <v>521</v>
      </c>
      <c r="C179" s="42">
        <v>24</v>
      </c>
      <c r="D179" s="43">
        <v>1</v>
      </c>
      <c r="E179" s="40" t="s">
        <v>232</v>
      </c>
      <c r="F179" s="42" t="s">
        <v>160</v>
      </c>
      <c r="G179" s="44" t="s">
        <v>160</v>
      </c>
      <c r="H179" s="44">
        <v>1200</v>
      </c>
      <c r="I179" s="44">
        <v>8</v>
      </c>
      <c r="J179" s="44">
        <v>7</v>
      </c>
      <c r="K179" s="44" t="s">
        <v>161</v>
      </c>
      <c r="L179" s="44" t="s">
        <v>162</v>
      </c>
      <c r="M179" s="44" t="s">
        <v>162</v>
      </c>
      <c r="N179" s="44" t="s">
        <v>162</v>
      </c>
      <c r="O179" s="44" t="s">
        <v>162</v>
      </c>
      <c r="P179" s="47">
        <v>4.32</v>
      </c>
      <c r="Q179" s="48">
        <v>19.12</v>
      </c>
      <c r="R179" s="54" t="str">
        <f>_xlfn.XLOOKUP(Table4[[#This Row],[ref_id]],$AB$5:$AB$182,$AC$5:$AC$182)</f>
        <v>C</v>
      </c>
      <c r="AB179" s="55" t="s">
        <v>522</v>
      </c>
      <c r="AC179" s="55" t="s">
        <v>162</v>
      </c>
    </row>
    <row r="180" spans="1:29" ht="15.5" customHeight="1" x14ac:dyDescent="0.35">
      <c r="A180" s="42" t="s">
        <v>493</v>
      </c>
      <c r="B180" s="42" t="s">
        <v>523</v>
      </c>
      <c r="C180" s="42">
        <v>24</v>
      </c>
      <c r="D180" s="43">
        <v>1</v>
      </c>
      <c r="E180" s="40" t="s">
        <v>232</v>
      </c>
      <c r="F180" s="42" t="s">
        <v>160</v>
      </c>
      <c r="G180" s="44" t="s">
        <v>160</v>
      </c>
      <c r="H180" s="44">
        <v>1200</v>
      </c>
      <c r="I180" s="44">
        <v>8</v>
      </c>
      <c r="J180" s="44">
        <v>7</v>
      </c>
      <c r="K180" s="44" t="s">
        <v>161</v>
      </c>
      <c r="L180" s="44" t="s">
        <v>162</v>
      </c>
      <c r="M180" s="44" t="s">
        <v>162</v>
      </c>
      <c r="N180" s="44" t="s">
        <v>162</v>
      </c>
      <c r="O180" s="44" t="s">
        <v>162</v>
      </c>
      <c r="P180" s="47">
        <v>4.32</v>
      </c>
      <c r="Q180" s="48">
        <v>19.12</v>
      </c>
      <c r="R180" s="54" t="str">
        <f>_xlfn.XLOOKUP(Table4[[#This Row],[ref_id]],$AB$5:$AB$182,$AC$5:$AC$182)</f>
        <v>C</v>
      </c>
      <c r="AB180" s="56" t="s">
        <v>524</v>
      </c>
      <c r="AC180" s="56" t="s">
        <v>162</v>
      </c>
    </row>
    <row r="181" spans="1:29" ht="15.5" customHeight="1" x14ac:dyDescent="0.35">
      <c r="A181" s="42" t="s">
        <v>525</v>
      </c>
      <c r="B181" s="42" t="s">
        <v>512</v>
      </c>
      <c r="C181" s="42">
        <v>1</v>
      </c>
      <c r="D181" s="43">
        <v>1</v>
      </c>
      <c r="E181" s="40" t="s">
        <v>260</v>
      </c>
      <c r="F181" s="42" t="s">
        <v>160</v>
      </c>
      <c r="G181" s="44" t="s">
        <v>160</v>
      </c>
      <c r="H181" s="44">
        <v>250</v>
      </c>
      <c r="I181" s="44">
        <v>5</v>
      </c>
      <c r="J181" s="44">
        <v>8</v>
      </c>
      <c r="K181" s="44" t="s">
        <v>161</v>
      </c>
      <c r="L181" s="44" t="s">
        <v>162</v>
      </c>
      <c r="M181" s="44" t="s">
        <v>162</v>
      </c>
      <c r="N181" s="44" t="s">
        <v>162</v>
      </c>
      <c r="O181" s="44" t="s">
        <v>162</v>
      </c>
      <c r="P181" s="47">
        <v>1.5</v>
      </c>
      <c r="Q181" s="48">
        <v>8.8000000000000007</v>
      </c>
      <c r="R181" s="54" t="s">
        <v>163</v>
      </c>
      <c r="AB181" s="55" t="s">
        <v>380</v>
      </c>
      <c r="AC181" s="55" t="s">
        <v>162</v>
      </c>
    </row>
    <row r="182" spans="1:29" ht="15.5" customHeight="1" x14ac:dyDescent="0.35">
      <c r="A182" s="42" t="s">
        <v>526</v>
      </c>
      <c r="B182" s="42" t="s">
        <v>527</v>
      </c>
      <c r="C182" s="42">
        <v>1</v>
      </c>
      <c r="D182" s="43">
        <v>1</v>
      </c>
      <c r="E182" s="40" t="s">
        <v>260</v>
      </c>
      <c r="F182" s="42" t="s">
        <v>160</v>
      </c>
      <c r="G182" s="44" t="s">
        <v>160</v>
      </c>
      <c r="H182" s="44">
        <v>180</v>
      </c>
      <c r="I182" s="44">
        <v>8</v>
      </c>
      <c r="J182" s="44">
        <v>8</v>
      </c>
      <c r="K182" s="44" t="s">
        <v>161</v>
      </c>
      <c r="L182" s="44" t="s">
        <v>162</v>
      </c>
      <c r="M182" s="44" t="s">
        <v>162</v>
      </c>
      <c r="N182" s="44" t="s">
        <v>162</v>
      </c>
      <c r="O182" s="44" t="s">
        <v>162</v>
      </c>
      <c r="P182" s="47">
        <v>1.5</v>
      </c>
      <c r="Q182" s="48">
        <v>9.34</v>
      </c>
      <c r="R182" s="54" t="s">
        <v>163</v>
      </c>
      <c r="AB182" s="56" t="s">
        <v>376</v>
      </c>
      <c r="AC182" s="56" t="s">
        <v>162</v>
      </c>
    </row>
    <row r="183" spans="1:29" ht="15.5" customHeight="1" x14ac:dyDescent="0.35">
      <c r="A183" s="42" t="s">
        <v>528</v>
      </c>
      <c r="B183" s="42" t="s">
        <v>527</v>
      </c>
      <c r="C183" s="42">
        <v>1</v>
      </c>
      <c r="D183" s="43">
        <v>1</v>
      </c>
      <c r="E183" s="40" t="s">
        <v>260</v>
      </c>
      <c r="F183" s="42" t="s">
        <v>160</v>
      </c>
      <c r="G183" s="44" t="s">
        <v>160</v>
      </c>
      <c r="H183" s="44">
        <v>180</v>
      </c>
      <c r="I183" s="44">
        <v>8</v>
      </c>
      <c r="J183" s="44">
        <v>8</v>
      </c>
      <c r="K183" s="44" t="s">
        <v>161</v>
      </c>
      <c r="L183" s="44" t="s">
        <v>162</v>
      </c>
      <c r="M183" s="44" t="s">
        <v>162</v>
      </c>
      <c r="N183" s="44" t="s">
        <v>162</v>
      </c>
      <c r="O183" s="44" t="s">
        <v>162</v>
      </c>
      <c r="P183" s="47">
        <v>1.5</v>
      </c>
      <c r="Q183" s="48">
        <v>9.34</v>
      </c>
      <c r="R183" s="54" t="s">
        <v>163</v>
      </c>
    </row>
    <row r="184" spans="1:29" ht="15.5" customHeight="1" x14ac:dyDescent="0.35">
      <c r="A184" s="42" t="s">
        <v>513</v>
      </c>
      <c r="B184" s="42" t="s">
        <v>529</v>
      </c>
      <c r="C184" s="42">
        <v>1</v>
      </c>
      <c r="D184" s="43">
        <v>1</v>
      </c>
      <c r="E184" s="40" t="s">
        <v>260</v>
      </c>
      <c r="F184" s="42" t="s">
        <v>160</v>
      </c>
      <c r="G184" s="44" t="s">
        <v>160</v>
      </c>
      <c r="H184" s="44">
        <v>250</v>
      </c>
      <c r="I184" s="44">
        <v>5</v>
      </c>
      <c r="J184" s="44">
        <v>8</v>
      </c>
      <c r="K184" s="44" t="s">
        <v>161</v>
      </c>
      <c r="L184" s="44" t="s">
        <v>162</v>
      </c>
      <c r="M184" s="44" t="s">
        <v>162</v>
      </c>
      <c r="N184" s="44" t="s">
        <v>162</v>
      </c>
      <c r="O184" s="44" t="s">
        <v>162</v>
      </c>
      <c r="P184" s="47">
        <v>1.5</v>
      </c>
      <c r="Q184" s="48">
        <v>8.8000000000000007</v>
      </c>
      <c r="R184" s="54" t="s">
        <v>163</v>
      </c>
    </row>
    <row r="185" spans="1:29" ht="15.5" customHeight="1" x14ac:dyDescent="0.35">
      <c r="A185" s="42" t="s">
        <v>530</v>
      </c>
      <c r="B185" s="42" t="s">
        <v>529</v>
      </c>
      <c r="C185" s="42">
        <v>1</v>
      </c>
      <c r="D185" s="43">
        <v>1</v>
      </c>
      <c r="E185" s="40" t="s">
        <v>260</v>
      </c>
      <c r="F185" s="42" t="s">
        <v>160</v>
      </c>
      <c r="G185" s="44" t="s">
        <v>160</v>
      </c>
      <c r="H185" s="44">
        <v>250</v>
      </c>
      <c r="I185" s="44">
        <v>5</v>
      </c>
      <c r="J185" s="44">
        <v>8</v>
      </c>
      <c r="K185" s="44" t="s">
        <v>161</v>
      </c>
      <c r="L185" s="44" t="s">
        <v>162</v>
      </c>
      <c r="M185" s="44" t="s">
        <v>162</v>
      </c>
      <c r="N185" s="44" t="s">
        <v>162</v>
      </c>
      <c r="O185" s="44" t="s">
        <v>162</v>
      </c>
      <c r="P185" s="47">
        <v>1.5</v>
      </c>
      <c r="Q185" s="48">
        <v>8.8000000000000007</v>
      </c>
      <c r="R185" s="54" t="s">
        <v>163</v>
      </c>
    </row>
    <row r="186" spans="1:29" ht="15.5" customHeight="1" x14ac:dyDescent="0.35">
      <c r="A186" s="42" t="s">
        <v>531</v>
      </c>
      <c r="B186" s="42" t="s">
        <v>532</v>
      </c>
      <c r="C186" s="49">
        <v>32</v>
      </c>
      <c r="D186" s="50">
        <v>0</v>
      </c>
      <c r="E186" s="41" t="s">
        <v>295</v>
      </c>
      <c r="F186" s="49" t="s">
        <v>160</v>
      </c>
      <c r="G186" s="51" t="s">
        <v>160</v>
      </c>
      <c r="H186" s="51">
        <v>630</v>
      </c>
      <c r="I186" s="51">
        <v>8</v>
      </c>
      <c r="J186" s="52">
        <v>4</v>
      </c>
      <c r="K186" s="51" t="s">
        <v>161</v>
      </c>
      <c r="L186" s="51" t="s">
        <v>162</v>
      </c>
      <c r="M186" s="51" t="s">
        <v>162</v>
      </c>
      <c r="N186" s="44" t="s">
        <v>162</v>
      </c>
      <c r="O186" s="44" t="s">
        <v>162</v>
      </c>
      <c r="P186" s="47">
        <v>3.2</v>
      </c>
      <c r="Q186" s="48">
        <v>30.4</v>
      </c>
      <c r="R186" s="54" t="s">
        <v>193</v>
      </c>
    </row>
    <row r="187" spans="1:29" ht="15.5" customHeight="1" x14ac:dyDescent="0.35">
      <c r="A187" s="42" t="s">
        <v>85</v>
      </c>
      <c r="B187" s="42" t="s">
        <v>533</v>
      </c>
      <c r="C187" s="42">
        <v>4</v>
      </c>
      <c r="D187" s="50">
        <v>1</v>
      </c>
      <c r="E187" s="41" t="s">
        <v>183</v>
      </c>
      <c r="F187" s="42" t="s">
        <v>160</v>
      </c>
      <c r="G187" s="44" t="s">
        <v>160</v>
      </c>
      <c r="H187" s="51">
        <v>350</v>
      </c>
      <c r="I187" s="44">
        <v>8</v>
      </c>
      <c r="J187" s="44">
        <v>4</v>
      </c>
      <c r="K187" s="44" t="s">
        <v>161</v>
      </c>
      <c r="L187" s="44" t="s">
        <v>162</v>
      </c>
      <c r="M187" s="44" t="s">
        <v>162</v>
      </c>
      <c r="N187" s="51" t="s">
        <v>162</v>
      </c>
      <c r="O187" s="51" t="s">
        <v>162</v>
      </c>
      <c r="P187" s="47">
        <v>2.6</v>
      </c>
      <c r="Q187" s="48">
        <v>16.87</v>
      </c>
      <c r="R187" s="54" t="s">
        <v>193</v>
      </c>
    </row>
    <row r="188" spans="1:29" ht="15.5" customHeight="1" x14ac:dyDescent="0.35">
      <c r="A188" s="42" t="s">
        <v>86</v>
      </c>
      <c r="B188" s="42" t="s">
        <v>534</v>
      </c>
      <c r="C188" s="42">
        <v>4</v>
      </c>
      <c r="D188" s="50">
        <v>1</v>
      </c>
      <c r="E188" s="41" t="s">
        <v>183</v>
      </c>
      <c r="F188" s="42" t="s">
        <v>160</v>
      </c>
      <c r="G188" s="44" t="s">
        <v>160</v>
      </c>
      <c r="H188" s="51">
        <v>350</v>
      </c>
      <c r="I188" s="44">
        <v>8</v>
      </c>
      <c r="J188" s="44">
        <v>4</v>
      </c>
      <c r="K188" s="44" t="s">
        <v>161</v>
      </c>
      <c r="L188" s="44" t="s">
        <v>162</v>
      </c>
      <c r="M188" s="44" t="s">
        <v>162</v>
      </c>
      <c r="N188" s="44" t="s">
        <v>162</v>
      </c>
      <c r="O188" s="44" t="s">
        <v>162</v>
      </c>
      <c r="P188" s="47">
        <v>2.6</v>
      </c>
      <c r="Q188" s="48">
        <v>16.87</v>
      </c>
      <c r="R188" s="54" t="s">
        <v>193</v>
      </c>
    </row>
    <row r="189" spans="1:29" ht="15.5" customHeight="1" x14ac:dyDescent="0.35">
      <c r="A189" s="42" t="s">
        <v>413</v>
      </c>
      <c r="B189" s="42" t="s">
        <v>535</v>
      </c>
      <c r="C189" s="42">
        <v>4</v>
      </c>
      <c r="D189" s="50">
        <v>0</v>
      </c>
      <c r="E189" s="41" t="s">
        <v>295</v>
      </c>
      <c r="F189" s="42" t="s">
        <v>160</v>
      </c>
      <c r="G189" s="44" t="s">
        <v>160</v>
      </c>
      <c r="H189" s="51">
        <v>130</v>
      </c>
      <c r="I189" s="44">
        <v>8</v>
      </c>
      <c r="J189" s="44">
        <v>4</v>
      </c>
      <c r="K189" s="44" t="s">
        <v>161</v>
      </c>
      <c r="L189" s="44" t="s">
        <v>162</v>
      </c>
      <c r="M189" s="44" t="s">
        <v>162</v>
      </c>
      <c r="N189" s="44" t="s">
        <v>162</v>
      </c>
      <c r="O189" s="44" t="s">
        <v>162</v>
      </c>
      <c r="P189" s="47">
        <v>8</v>
      </c>
      <c r="Q189" s="48">
        <v>39.58</v>
      </c>
      <c r="R189" s="54" t="str">
        <f>_xlfn.XLOOKUP(Table4[[#This Row],[ref_id]],$AB$5:$AB$182,$AC$5:$AC$182)</f>
        <v>C</v>
      </c>
    </row>
    <row r="190" spans="1:29" ht="15.5" customHeight="1" x14ac:dyDescent="0.35">
      <c r="A190" s="42" t="s">
        <v>399</v>
      </c>
      <c r="B190" s="42" t="s">
        <v>536</v>
      </c>
      <c r="C190" s="42">
        <v>24</v>
      </c>
      <c r="D190" s="50">
        <v>1</v>
      </c>
      <c r="E190" s="41" t="s">
        <v>239</v>
      </c>
      <c r="F190" s="42" t="s">
        <v>160</v>
      </c>
      <c r="G190" s="44" t="s">
        <v>160</v>
      </c>
      <c r="H190" s="51" t="s">
        <v>162</v>
      </c>
      <c r="I190" s="44" t="s">
        <v>162</v>
      </c>
      <c r="J190" s="44" t="s">
        <v>162</v>
      </c>
      <c r="K190" s="44" t="s">
        <v>160</v>
      </c>
      <c r="L190" s="44">
        <v>1000</v>
      </c>
      <c r="M190" s="44">
        <v>1000</v>
      </c>
      <c r="N190" s="44">
        <v>3</v>
      </c>
      <c r="O190" s="44">
        <v>3</v>
      </c>
      <c r="P190" s="47">
        <v>1.68</v>
      </c>
      <c r="Q190" s="48">
        <v>12.05</v>
      </c>
      <c r="R190" s="54" t="str">
        <f>_xlfn.XLOOKUP(Table4[[#This Row],[ref_id]],$AB$5:$AB$182,$AC$5:$AC$182)</f>
        <v>C</v>
      </c>
    </row>
    <row r="191" spans="1:29" ht="15.5" customHeight="1" x14ac:dyDescent="0.35">
      <c r="A191" s="42" t="s">
        <v>29</v>
      </c>
      <c r="B191" s="42" t="s">
        <v>537</v>
      </c>
      <c r="C191" s="42">
        <v>4</v>
      </c>
      <c r="D191" s="42">
        <v>1</v>
      </c>
      <c r="E191" s="42" t="s">
        <v>291</v>
      </c>
      <c r="F191" s="42" t="s">
        <v>160</v>
      </c>
      <c r="G191" s="44" t="s">
        <v>161</v>
      </c>
      <c r="H191" s="42" t="s">
        <v>162</v>
      </c>
      <c r="I191" s="42" t="s">
        <v>162</v>
      </c>
      <c r="J191" s="42" t="s">
        <v>162</v>
      </c>
      <c r="K191" s="42" t="s">
        <v>160</v>
      </c>
      <c r="L191" s="42">
        <v>126</v>
      </c>
      <c r="M191" s="42">
        <v>126</v>
      </c>
      <c r="N191" s="42">
        <v>2</v>
      </c>
      <c r="O191" s="44">
        <v>1</v>
      </c>
      <c r="P191" s="47">
        <v>3.2</v>
      </c>
      <c r="Q191" s="48">
        <v>16.78</v>
      </c>
      <c r="R191" s="54" t="str">
        <f>_xlfn.XLOOKUP(Table4[[#This Row],[ref_id]],$AB$5:$AB$182,$AC$5:$AC$182)</f>
        <v>C</v>
      </c>
    </row>
    <row r="192" spans="1:29" ht="15.5" customHeight="1" x14ac:dyDescent="0.35">
      <c r="A192" s="42" t="s">
        <v>6</v>
      </c>
      <c r="B192" s="42" t="s">
        <v>538</v>
      </c>
      <c r="C192" s="42">
        <v>30</v>
      </c>
      <c r="D192" s="43">
        <v>0</v>
      </c>
      <c r="E192" s="40" t="s">
        <v>189</v>
      </c>
      <c r="F192" s="42" t="s">
        <v>160</v>
      </c>
      <c r="G192" s="44" t="s">
        <v>160</v>
      </c>
      <c r="H192" s="44" t="s">
        <v>162</v>
      </c>
      <c r="I192" s="44" t="s">
        <v>162</v>
      </c>
      <c r="J192" s="44" t="s">
        <v>162</v>
      </c>
      <c r="K192" s="44" t="s">
        <v>160</v>
      </c>
      <c r="L192" s="44">
        <v>800</v>
      </c>
      <c r="M192" s="44">
        <v>800</v>
      </c>
      <c r="N192" s="44">
        <v>7</v>
      </c>
      <c r="O192" s="44">
        <v>0</v>
      </c>
      <c r="P192" s="47">
        <v>4.05</v>
      </c>
      <c r="Q192" s="48">
        <v>19.87</v>
      </c>
      <c r="R192" s="54" t="str">
        <f>_xlfn.XLOOKUP(Table4[[#This Row],[ref_id]],$AB$5:$AB$182,$AC$5:$AC$182)</f>
        <v>C</v>
      </c>
    </row>
  </sheetData>
  <mergeCells count="2">
    <mergeCell ref="A1:O1"/>
    <mergeCell ref="A2:Q2"/>
  </mergeCells>
  <conditionalFormatting sqref="AC5:AC182">
    <cfRule type="expression" dxfId="2" priority="1">
      <formula>IF(OR(AC5="Z",AC5="C"),1,0)</formula>
    </cfRule>
    <cfRule type="expression" dxfId="1" priority="2">
      <formula>IF(OR(AC5="A",AC5="X"),1,0)</formula>
    </cfRule>
    <cfRule type="expression" dxfId="0" priority="3">
      <formula>IF(OR(AC5="B",AC5="Y"),1,0)</formula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39"/>
  <sheetViews>
    <sheetView zoomScale="49" workbookViewId="0">
      <selection activeCell="D28" sqref="D28"/>
    </sheetView>
  </sheetViews>
  <sheetFormatPr defaultRowHeight="14.5" x14ac:dyDescent="0.35"/>
  <cols>
    <col min="1" max="1" width="22.6328125" bestFit="1" customWidth="1"/>
    <col min="2" max="3" width="16" customWidth="1"/>
    <col min="4" max="4" width="12.1796875" customWidth="1"/>
    <col min="5" max="11" width="16" customWidth="1"/>
    <col min="12" max="12" width="19.90625" customWidth="1"/>
    <col min="13" max="13" width="16" customWidth="1"/>
    <col min="14" max="14" width="21.7265625" bestFit="1" customWidth="1"/>
    <col min="15" max="27" width="16" customWidth="1"/>
    <col min="28" max="28" width="14.6328125" customWidth="1"/>
    <col min="29" max="29" width="10.81640625" customWidth="1"/>
    <col min="30" max="30" width="12.81640625" customWidth="1"/>
    <col min="31" max="31" width="15.54296875" customWidth="1"/>
    <col min="32" max="32" width="11.7265625" customWidth="1"/>
    <col min="33" max="33" width="14.90625" customWidth="1"/>
    <col min="34" max="34" width="14.6328125" customWidth="1"/>
    <col min="35" max="35" width="13.7265625" customWidth="1"/>
    <col min="37" max="37" width="13" customWidth="1"/>
    <col min="38" max="38" width="8.7265625" style="24" customWidth="1"/>
  </cols>
  <sheetData>
    <row r="1" spans="1:38" ht="18.5" customHeight="1" x14ac:dyDescent="0.45">
      <c r="A1" s="57" t="s">
        <v>539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</row>
    <row r="2" spans="1:38" x14ac:dyDescent="0.35">
      <c r="A2" s="60" t="s">
        <v>540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</row>
    <row r="3" spans="1:38" ht="32" customHeight="1" x14ac:dyDescent="0.7">
      <c r="B3" s="70" t="s">
        <v>541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</row>
    <row r="4" spans="1:38" ht="29.5" customHeight="1" x14ac:dyDescent="0.35">
      <c r="A4" s="19" t="s">
        <v>542</v>
      </c>
      <c r="B4" s="21" t="s">
        <v>180</v>
      </c>
      <c r="C4" s="21" t="s">
        <v>203</v>
      </c>
      <c r="D4" s="21" t="s">
        <v>206</v>
      </c>
      <c r="E4" s="21" t="s">
        <v>212</v>
      </c>
      <c r="F4" s="21" t="s">
        <v>183</v>
      </c>
      <c r="G4" s="21" t="s">
        <v>219</v>
      </c>
      <c r="H4" s="21" t="s">
        <v>223</v>
      </c>
      <c r="I4" s="21" t="s">
        <v>226</v>
      </c>
      <c r="J4" s="21" t="s">
        <v>229</v>
      </c>
      <c r="K4" s="21" t="s">
        <v>232</v>
      </c>
      <c r="L4" s="21" t="s">
        <v>235</v>
      </c>
      <c r="M4" s="21" t="s">
        <v>239</v>
      </c>
      <c r="N4" s="21" t="s">
        <v>243</v>
      </c>
      <c r="O4" s="21" t="s">
        <v>246</v>
      </c>
      <c r="P4" s="21" t="s">
        <v>249</v>
      </c>
      <c r="Q4" s="21" t="s">
        <v>252</v>
      </c>
      <c r="R4" s="21" t="s">
        <v>255</v>
      </c>
      <c r="S4" s="21" t="s">
        <v>221</v>
      </c>
      <c r="T4" s="21" t="s">
        <v>196</v>
      </c>
      <c r="U4" s="21" t="s">
        <v>169</v>
      </c>
      <c r="V4" s="21" t="s">
        <v>268</v>
      </c>
      <c r="W4" s="21" t="s">
        <v>271</v>
      </c>
      <c r="X4" s="21" t="s">
        <v>192</v>
      </c>
      <c r="Y4" s="21" t="s">
        <v>159</v>
      </c>
      <c r="Z4" s="21" t="s">
        <v>282</v>
      </c>
      <c r="AA4" s="21" t="s">
        <v>260</v>
      </c>
      <c r="AB4" s="21" t="s">
        <v>291</v>
      </c>
      <c r="AC4" s="21" t="s">
        <v>295</v>
      </c>
      <c r="AD4" s="21" t="s">
        <v>299</v>
      </c>
      <c r="AE4" s="21" t="s">
        <v>280</v>
      </c>
      <c r="AF4" s="21" t="s">
        <v>276</v>
      </c>
      <c r="AG4" s="21" t="s">
        <v>308</v>
      </c>
      <c r="AH4" s="21" t="s">
        <v>189</v>
      </c>
      <c r="AI4" s="21" t="s">
        <v>289</v>
      </c>
      <c r="AJ4" s="33" t="s">
        <v>210</v>
      </c>
      <c r="AK4" s="23" t="s">
        <v>543</v>
      </c>
      <c r="AL4" s="25">
        <v>10</v>
      </c>
    </row>
    <row r="5" spans="1:38" ht="15.5" customHeight="1" x14ac:dyDescent="0.35">
      <c r="A5" s="21" t="s">
        <v>180</v>
      </c>
      <c r="B5" s="20">
        <v>10</v>
      </c>
      <c r="C5" s="20">
        <v>20</v>
      </c>
      <c r="D5" s="20">
        <v>15</v>
      </c>
      <c r="E5" s="20">
        <v>15</v>
      </c>
      <c r="F5" s="20">
        <v>10</v>
      </c>
      <c r="G5" s="20">
        <v>15</v>
      </c>
      <c r="H5" s="20">
        <v>15</v>
      </c>
      <c r="I5" s="20">
        <v>15</v>
      </c>
      <c r="J5" s="20">
        <v>15</v>
      </c>
      <c r="K5" s="20">
        <v>20</v>
      </c>
      <c r="L5" s="20">
        <v>20</v>
      </c>
      <c r="M5" s="20">
        <v>15</v>
      </c>
      <c r="N5" s="20">
        <v>15</v>
      </c>
      <c r="O5" s="20">
        <v>15</v>
      </c>
      <c r="P5" s="20">
        <v>20</v>
      </c>
      <c r="Q5" s="20">
        <v>15</v>
      </c>
      <c r="R5" s="20">
        <v>15</v>
      </c>
      <c r="S5" s="20">
        <v>20</v>
      </c>
      <c r="T5" s="20">
        <v>20</v>
      </c>
      <c r="U5" s="20">
        <v>15</v>
      </c>
      <c r="V5" s="20">
        <v>20</v>
      </c>
      <c r="W5" s="20">
        <v>15</v>
      </c>
      <c r="X5" s="20">
        <v>15</v>
      </c>
      <c r="Y5" s="20">
        <v>15</v>
      </c>
      <c r="Z5" s="20">
        <v>15</v>
      </c>
      <c r="AA5" s="20">
        <v>15</v>
      </c>
      <c r="AB5" s="20">
        <v>20</v>
      </c>
      <c r="AC5" s="20">
        <v>20</v>
      </c>
      <c r="AD5" s="20">
        <v>15</v>
      </c>
      <c r="AE5" s="20">
        <v>15</v>
      </c>
      <c r="AF5" s="20">
        <v>15</v>
      </c>
      <c r="AG5" s="20">
        <v>15</v>
      </c>
      <c r="AH5" s="20">
        <v>15</v>
      </c>
      <c r="AI5" s="20">
        <v>15</v>
      </c>
      <c r="AJ5" s="20">
        <v>15</v>
      </c>
      <c r="AK5" s="23" t="s">
        <v>544</v>
      </c>
      <c r="AL5" s="25">
        <v>15</v>
      </c>
    </row>
    <row r="6" spans="1:38" ht="15.5" customHeight="1" x14ac:dyDescent="0.35">
      <c r="A6" s="21" t="s">
        <v>203</v>
      </c>
      <c r="B6" s="20">
        <v>10</v>
      </c>
      <c r="C6" s="20">
        <v>20</v>
      </c>
      <c r="D6" s="22">
        <v>10</v>
      </c>
      <c r="E6" s="22">
        <v>10</v>
      </c>
      <c r="F6" s="22">
        <v>10</v>
      </c>
      <c r="G6" s="22">
        <v>10</v>
      </c>
      <c r="H6" s="22">
        <v>10</v>
      </c>
      <c r="I6" s="22">
        <v>10</v>
      </c>
      <c r="J6" s="22">
        <v>10</v>
      </c>
      <c r="K6" s="20">
        <v>20</v>
      </c>
      <c r="L6" s="22">
        <v>10</v>
      </c>
      <c r="M6" s="22">
        <v>10</v>
      </c>
      <c r="N6" s="22">
        <v>10</v>
      </c>
      <c r="O6" s="22">
        <v>10</v>
      </c>
      <c r="P6" s="22">
        <v>10</v>
      </c>
      <c r="Q6" s="22">
        <v>10</v>
      </c>
      <c r="R6" s="22">
        <v>10</v>
      </c>
      <c r="S6" s="20">
        <v>20</v>
      </c>
      <c r="T6" s="20">
        <v>20</v>
      </c>
      <c r="U6" s="22">
        <v>10</v>
      </c>
      <c r="V6" s="22">
        <v>10</v>
      </c>
      <c r="W6" s="22">
        <v>10</v>
      </c>
      <c r="X6" s="22">
        <v>10</v>
      </c>
      <c r="Y6" s="22">
        <v>10</v>
      </c>
      <c r="Z6" s="22">
        <v>10</v>
      </c>
      <c r="AA6" s="22">
        <v>10</v>
      </c>
      <c r="AB6" s="22">
        <v>10</v>
      </c>
      <c r="AC6" s="20">
        <v>20</v>
      </c>
      <c r="AD6" s="22">
        <v>10</v>
      </c>
      <c r="AE6" s="22">
        <v>10</v>
      </c>
      <c r="AF6" s="22">
        <v>10</v>
      </c>
      <c r="AG6" s="22">
        <v>10</v>
      </c>
      <c r="AH6" s="22">
        <v>10</v>
      </c>
      <c r="AI6" s="22">
        <v>10</v>
      </c>
      <c r="AJ6" s="20">
        <v>10</v>
      </c>
      <c r="AK6" s="23" t="s">
        <v>545</v>
      </c>
      <c r="AL6" s="25">
        <v>20</v>
      </c>
    </row>
    <row r="7" spans="1:38" ht="15.5" customHeight="1" x14ac:dyDescent="0.35">
      <c r="A7" s="21" t="s">
        <v>206</v>
      </c>
      <c r="B7" s="20">
        <v>15</v>
      </c>
      <c r="C7" s="20">
        <v>20</v>
      </c>
      <c r="D7" s="22">
        <v>10</v>
      </c>
      <c r="E7" s="22">
        <v>15</v>
      </c>
      <c r="F7" s="22">
        <v>15</v>
      </c>
      <c r="G7" s="22">
        <v>15</v>
      </c>
      <c r="H7" s="22">
        <v>15</v>
      </c>
      <c r="I7" s="22">
        <v>15</v>
      </c>
      <c r="J7" s="22">
        <v>15</v>
      </c>
      <c r="K7" s="20">
        <v>20</v>
      </c>
      <c r="L7" s="22">
        <v>10</v>
      </c>
      <c r="M7" s="20">
        <v>15</v>
      </c>
      <c r="N7" s="20">
        <v>15</v>
      </c>
      <c r="O7" s="20">
        <v>15</v>
      </c>
      <c r="P7" s="20">
        <v>15</v>
      </c>
      <c r="Q7" s="20">
        <v>15</v>
      </c>
      <c r="R7" s="20">
        <v>15</v>
      </c>
      <c r="S7" s="20">
        <v>20</v>
      </c>
      <c r="T7" s="20">
        <v>20</v>
      </c>
      <c r="U7" s="20">
        <v>15</v>
      </c>
      <c r="V7" s="20">
        <v>15</v>
      </c>
      <c r="W7" s="20">
        <v>15</v>
      </c>
      <c r="X7" s="20">
        <v>15</v>
      </c>
      <c r="Y7" s="20">
        <v>15</v>
      </c>
      <c r="Z7" s="20">
        <v>15</v>
      </c>
      <c r="AA7" s="20">
        <v>15</v>
      </c>
      <c r="AB7" s="20">
        <v>15</v>
      </c>
      <c r="AC7" s="20">
        <v>20</v>
      </c>
      <c r="AD7" s="20">
        <v>15</v>
      </c>
      <c r="AE7" s="20">
        <v>15</v>
      </c>
      <c r="AF7" s="20">
        <v>15</v>
      </c>
      <c r="AG7" s="20">
        <v>15</v>
      </c>
      <c r="AH7" s="20">
        <v>15</v>
      </c>
      <c r="AI7" s="20">
        <v>15</v>
      </c>
      <c r="AJ7" s="20">
        <v>15</v>
      </c>
    </row>
    <row r="8" spans="1:38" ht="15.5" customHeight="1" x14ac:dyDescent="0.35">
      <c r="A8" s="21" t="s">
        <v>212</v>
      </c>
      <c r="B8" s="20">
        <v>15</v>
      </c>
      <c r="C8" s="20">
        <v>20</v>
      </c>
      <c r="D8" s="20">
        <v>15</v>
      </c>
      <c r="E8" s="20">
        <v>10</v>
      </c>
      <c r="F8" s="20">
        <v>15</v>
      </c>
      <c r="G8" s="20">
        <v>15</v>
      </c>
      <c r="H8" s="20">
        <v>15</v>
      </c>
      <c r="I8" s="20">
        <v>15</v>
      </c>
      <c r="J8" s="20">
        <v>15</v>
      </c>
      <c r="K8" s="20">
        <v>20</v>
      </c>
      <c r="L8" s="20">
        <v>15</v>
      </c>
      <c r="M8" s="20">
        <v>15</v>
      </c>
      <c r="N8" s="20">
        <v>15</v>
      </c>
      <c r="O8" s="20">
        <v>15</v>
      </c>
      <c r="P8" s="20">
        <v>15</v>
      </c>
      <c r="Q8" s="20">
        <v>15</v>
      </c>
      <c r="R8" s="20">
        <v>15</v>
      </c>
      <c r="S8" s="20">
        <v>20</v>
      </c>
      <c r="T8" s="20">
        <v>20</v>
      </c>
      <c r="U8" s="20">
        <v>15</v>
      </c>
      <c r="V8" s="20">
        <v>15</v>
      </c>
      <c r="W8" s="20">
        <v>15</v>
      </c>
      <c r="X8" s="20">
        <v>15</v>
      </c>
      <c r="Y8" s="20">
        <v>15</v>
      </c>
      <c r="Z8" s="20">
        <v>15</v>
      </c>
      <c r="AA8" s="20">
        <v>15</v>
      </c>
      <c r="AB8" s="20">
        <v>15</v>
      </c>
      <c r="AC8" s="20">
        <v>20</v>
      </c>
      <c r="AD8" s="20">
        <v>15</v>
      </c>
      <c r="AE8" s="20">
        <v>15</v>
      </c>
      <c r="AF8" s="20">
        <v>15</v>
      </c>
      <c r="AG8" s="20">
        <v>15</v>
      </c>
      <c r="AH8" s="20">
        <v>15</v>
      </c>
      <c r="AI8" s="20">
        <v>15</v>
      </c>
      <c r="AJ8" s="20">
        <v>15</v>
      </c>
    </row>
    <row r="9" spans="1:38" ht="15.5" customHeight="1" x14ac:dyDescent="0.35">
      <c r="A9" s="21" t="s">
        <v>183</v>
      </c>
      <c r="B9" s="20">
        <v>15</v>
      </c>
      <c r="C9" s="20">
        <v>20</v>
      </c>
      <c r="D9" s="20">
        <v>15</v>
      </c>
      <c r="E9" s="20">
        <v>15</v>
      </c>
      <c r="F9" s="20">
        <v>10</v>
      </c>
      <c r="G9" s="20">
        <v>15</v>
      </c>
      <c r="H9" s="20">
        <v>15</v>
      </c>
      <c r="I9" s="20">
        <v>15</v>
      </c>
      <c r="J9" s="20">
        <v>15</v>
      </c>
      <c r="K9" s="20">
        <v>20</v>
      </c>
      <c r="L9" s="20">
        <v>20</v>
      </c>
      <c r="M9" s="20">
        <v>15</v>
      </c>
      <c r="N9" s="20">
        <v>15</v>
      </c>
      <c r="O9" s="20">
        <v>15</v>
      </c>
      <c r="P9" s="20">
        <v>15</v>
      </c>
      <c r="Q9" s="20">
        <v>15</v>
      </c>
      <c r="R9" s="20">
        <v>15</v>
      </c>
      <c r="S9" s="20">
        <v>20</v>
      </c>
      <c r="T9" s="20">
        <v>20</v>
      </c>
      <c r="U9" s="20">
        <v>15</v>
      </c>
      <c r="V9" s="20">
        <v>15</v>
      </c>
      <c r="W9" s="20">
        <v>15</v>
      </c>
      <c r="X9" s="20">
        <v>15</v>
      </c>
      <c r="Y9" s="20">
        <v>15</v>
      </c>
      <c r="Z9" s="20">
        <v>15</v>
      </c>
      <c r="AA9" s="20">
        <v>15</v>
      </c>
      <c r="AB9" s="20">
        <v>15</v>
      </c>
      <c r="AC9" s="20">
        <v>20</v>
      </c>
      <c r="AD9" s="20">
        <v>15</v>
      </c>
      <c r="AE9" s="20">
        <v>15</v>
      </c>
      <c r="AF9" s="20">
        <v>15</v>
      </c>
      <c r="AG9" s="20">
        <v>15</v>
      </c>
      <c r="AH9" s="20">
        <v>15</v>
      </c>
      <c r="AI9" s="20">
        <v>15</v>
      </c>
      <c r="AJ9" s="20">
        <v>15</v>
      </c>
    </row>
    <row r="10" spans="1:38" ht="15.5" customHeight="1" x14ac:dyDescent="0.35">
      <c r="A10" s="21" t="s">
        <v>219</v>
      </c>
      <c r="B10" s="20">
        <v>15</v>
      </c>
      <c r="C10" s="20">
        <v>20</v>
      </c>
      <c r="D10" s="20">
        <v>15</v>
      </c>
      <c r="E10" s="20">
        <v>15</v>
      </c>
      <c r="F10" s="20">
        <v>15</v>
      </c>
      <c r="G10" s="20">
        <v>10</v>
      </c>
      <c r="H10" s="20">
        <v>15</v>
      </c>
      <c r="I10" s="20">
        <v>15</v>
      </c>
      <c r="J10" s="20">
        <v>15</v>
      </c>
      <c r="K10" s="20">
        <v>20</v>
      </c>
      <c r="L10" s="20">
        <v>20</v>
      </c>
      <c r="M10" s="20">
        <v>15</v>
      </c>
      <c r="N10" s="20">
        <v>15</v>
      </c>
      <c r="O10" s="20">
        <v>15</v>
      </c>
      <c r="P10" s="20">
        <v>15</v>
      </c>
      <c r="Q10" s="20">
        <v>15</v>
      </c>
      <c r="R10" s="20">
        <v>15</v>
      </c>
      <c r="S10" s="20">
        <v>20</v>
      </c>
      <c r="T10" s="20">
        <v>20</v>
      </c>
      <c r="U10" s="20">
        <v>15</v>
      </c>
      <c r="V10" s="20">
        <v>15</v>
      </c>
      <c r="W10" s="20">
        <v>15</v>
      </c>
      <c r="X10" s="20">
        <v>15</v>
      </c>
      <c r="Y10" s="20">
        <v>15</v>
      </c>
      <c r="Z10" s="20">
        <v>15</v>
      </c>
      <c r="AA10" s="20">
        <v>15</v>
      </c>
      <c r="AB10" s="20">
        <v>15</v>
      </c>
      <c r="AC10" s="20">
        <v>20</v>
      </c>
      <c r="AD10" s="20">
        <v>15</v>
      </c>
      <c r="AE10" s="20">
        <v>15</v>
      </c>
      <c r="AF10" s="20">
        <v>15</v>
      </c>
      <c r="AG10" s="20">
        <v>15</v>
      </c>
      <c r="AH10" s="20">
        <v>15</v>
      </c>
      <c r="AI10" s="20">
        <v>15</v>
      </c>
      <c r="AJ10" s="20">
        <v>15</v>
      </c>
    </row>
    <row r="11" spans="1:38" ht="15.5" customHeight="1" x14ac:dyDescent="0.35">
      <c r="A11" s="21" t="s">
        <v>223</v>
      </c>
      <c r="B11" s="20">
        <v>20</v>
      </c>
      <c r="C11" s="20">
        <v>20</v>
      </c>
      <c r="D11" s="20">
        <v>20</v>
      </c>
      <c r="E11" s="20">
        <v>20</v>
      </c>
      <c r="F11" s="20">
        <v>20</v>
      </c>
      <c r="G11" s="20">
        <v>20</v>
      </c>
      <c r="H11" s="20">
        <v>10</v>
      </c>
      <c r="I11" s="20">
        <v>20</v>
      </c>
      <c r="J11" s="20">
        <v>20</v>
      </c>
      <c r="K11" s="20">
        <v>20</v>
      </c>
      <c r="L11" s="20">
        <v>20</v>
      </c>
      <c r="M11" s="20">
        <v>20</v>
      </c>
      <c r="N11" s="20">
        <v>20</v>
      </c>
      <c r="O11" s="20">
        <v>20</v>
      </c>
      <c r="P11" s="20">
        <v>20</v>
      </c>
      <c r="Q11" s="20">
        <v>20</v>
      </c>
      <c r="R11" s="20">
        <v>20</v>
      </c>
      <c r="S11" s="20">
        <v>20</v>
      </c>
      <c r="T11" s="20">
        <v>20</v>
      </c>
      <c r="U11" s="20">
        <v>20</v>
      </c>
      <c r="V11" s="20">
        <v>20</v>
      </c>
      <c r="W11" s="20">
        <v>20</v>
      </c>
      <c r="X11" s="20">
        <v>20</v>
      </c>
      <c r="Y11" s="20">
        <v>20</v>
      </c>
      <c r="Z11" s="20">
        <v>20</v>
      </c>
      <c r="AA11" s="20">
        <v>20</v>
      </c>
      <c r="AB11" s="20">
        <v>20</v>
      </c>
      <c r="AC11" s="20">
        <v>20</v>
      </c>
      <c r="AD11" s="20">
        <v>20</v>
      </c>
      <c r="AE11" s="20">
        <v>20</v>
      </c>
      <c r="AF11" s="20">
        <v>20</v>
      </c>
      <c r="AG11" s="20">
        <v>20</v>
      </c>
      <c r="AH11" s="20">
        <v>20</v>
      </c>
      <c r="AI11" s="20">
        <v>20</v>
      </c>
      <c r="AJ11" s="20">
        <v>20</v>
      </c>
    </row>
    <row r="12" spans="1:38" ht="15.5" customHeight="1" x14ac:dyDescent="0.35">
      <c r="A12" s="21" t="s">
        <v>226</v>
      </c>
      <c r="B12" s="20">
        <v>15</v>
      </c>
      <c r="C12" s="20">
        <v>20</v>
      </c>
      <c r="D12" s="20">
        <v>15</v>
      </c>
      <c r="E12" s="20">
        <v>15</v>
      </c>
      <c r="F12" s="20">
        <v>15</v>
      </c>
      <c r="G12" s="20">
        <v>15</v>
      </c>
      <c r="H12" s="20">
        <v>15</v>
      </c>
      <c r="I12" s="20">
        <v>15</v>
      </c>
      <c r="J12" s="20">
        <v>15</v>
      </c>
      <c r="K12" s="20">
        <v>20</v>
      </c>
      <c r="L12" s="20">
        <v>20</v>
      </c>
      <c r="M12" s="20">
        <v>15</v>
      </c>
      <c r="N12" s="20">
        <v>15</v>
      </c>
      <c r="O12" s="20">
        <v>15</v>
      </c>
      <c r="P12" s="20">
        <v>15</v>
      </c>
      <c r="Q12" s="20">
        <v>15</v>
      </c>
      <c r="R12" s="20">
        <v>15</v>
      </c>
      <c r="S12" s="20">
        <v>20</v>
      </c>
      <c r="T12" s="20">
        <v>20</v>
      </c>
      <c r="U12" s="20">
        <v>15</v>
      </c>
      <c r="V12" s="20">
        <v>15</v>
      </c>
      <c r="W12" s="20">
        <v>15</v>
      </c>
      <c r="X12" s="20">
        <v>15</v>
      </c>
      <c r="Y12" s="20">
        <v>15</v>
      </c>
      <c r="Z12" s="20">
        <v>15</v>
      </c>
      <c r="AA12" s="20">
        <v>15</v>
      </c>
      <c r="AB12" s="20">
        <v>15</v>
      </c>
      <c r="AC12" s="20">
        <v>20</v>
      </c>
      <c r="AD12" s="20">
        <v>15</v>
      </c>
      <c r="AE12" s="20">
        <v>15</v>
      </c>
      <c r="AF12" s="20">
        <v>15</v>
      </c>
      <c r="AG12" s="20">
        <v>15</v>
      </c>
      <c r="AH12" s="20">
        <v>15</v>
      </c>
      <c r="AI12" s="20">
        <v>15</v>
      </c>
      <c r="AJ12" s="20">
        <v>15</v>
      </c>
    </row>
    <row r="13" spans="1:38" ht="15.5" customHeight="1" x14ac:dyDescent="0.35">
      <c r="A13" s="21" t="s">
        <v>229</v>
      </c>
      <c r="B13" s="20">
        <v>15</v>
      </c>
      <c r="C13" s="20">
        <v>20</v>
      </c>
      <c r="D13" s="20">
        <v>15</v>
      </c>
      <c r="E13" s="20">
        <v>15</v>
      </c>
      <c r="F13" s="20">
        <v>15</v>
      </c>
      <c r="G13" s="20">
        <v>15</v>
      </c>
      <c r="H13" s="20">
        <v>15</v>
      </c>
      <c r="I13" s="20">
        <v>15</v>
      </c>
      <c r="J13" s="20">
        <v>10</v>
      </c>
      <c r="K13" s="20">
        <v>20</v>
      </c>
      <c r="L13" s="20">
        <v>15</v>
      </c>
      <c r="M13" s="20">
        <v>15</v>
      </c>
      <c r="N13" s="20">
        <v>15</v>
      </c>
      <c r="O13" s="20">
        <v>15</v>
      </c>
      <c r="P13" s="20">
        <v>15</v>
      </c>
      <c r="Q13" s="20">
        <v>15</v>
      </c>
      <c r="R13" s="20">
        <v>15</v>
      </c>
      <c r="S13" s="20">
        <v>20</v>
      </c>
      <c r="T13" s="20">
        <v>20</v>
      </c>
      <c r="U13" s="20">
        <v>15</v>
      </c>
      <c r="V13" s="20">
        <v>15</v>
      </c>
      <c r="W13" s="20">
        <v>15</v>
      </c>
      <c r="X13" s="20">
        <v>15</v>
      </c>
      <c r="Y13" s="20">
        <v>15</v>
      </c>
      <c r="Z13" s="20">
        <v>15</v>
      </c>
      <c r="AA13" s="20">
        <v>15</v>
      </c>
      <c r="AB13" s="20">
        <v>15</v>
      </c>
      <c r="AC13" s="20">
        <v>20</v>
      </c>
      <c r="AD13" s="20">
        <v>15</v>
      </c>
      <c r="AE13" s="20">
        <v>15</v>
      </c>
      <c r="AF13" s="20">
        <v>15</v>
      </c>
      <c r="AG13" s="20">
        <v>15</v>
      </c>
      <c r="AH13" s="20">
        <v>15</v>
      </c>
      <c r="AI13" s="20">
        <v>15</v>
      </c>
      <c r="AJ13" s="20">
        <v>15</v>
      </c>
    </row>
    <row r="14" spans="1:38" ht="15.5" customHeight="1" x14ac:dyDescent="0.35">
      <c r="A14" s="21" t="s">
        <v>232</v>
      </c>
      <c r="B14" s="20">
        <v>10</v>
      </c>
      <c r="C14" s="20">
        <v>20</v>
      </c>
      <c r="D14" s="20">
        <v>10</v>
      </c>
      <c r="E14" s="20">
        <v>10</v>
      </c>
      <c r="F14" s="20">
        <v>10</v>
      </c>
      <c r="G14" s="20">
        <v>10</v>
      </c>
      <c r="H14" s="20">
        <v>10</v>
      </c>
      <c r="I14" s="20">
        <v>10</v>
      </c>
      <c r="J14" s="20">
        <v>10</v>
      </c>
      <c r="K14" s="20">
        <v>10</v>
      </c>
      <c r="L14" s="20">
        <v>10</v>
      </c>
      <c r="M14" s="20">
        <v>10</v>
      </c>
      <c r="N14" s="20">
        <v>10</v>
      </c>
      <c r="O14" s="20">
        <v>10</v>
      </c>
      <c r="P14" s="20">
        <v>10</v>
      </c>
      <c r="Q14" s="20">
        <v>10</v>
      </c>
      <c r="R14" s="20">
        <v>10</v>
      </c>
      <c r="S14" s="20">
        <v>20</v>
      </c>
      <c r="T14" s="20">
        <v>20</v>
      </c>
      <c r="U14" s="20">
        <v>10</v>
      </c>
      <c r="V14" s="20">
        <v>10</v>
      </c>
      <c r="W14" s="20">
        <v>10</v>
      </c>
      <c r="X14" s="20">
        <v>10</v>
      </c>
      <c r="Y14" s="20">
        <v>10</v>
      </c>
      <c r="Z14" s="20">
        <v>10</v>
      </c>
      <c r="AA14" s="20">
        <v>10</v>
      </c>
      <c r="AB14" s="20">
        <v>10</v>
      </c>
      <c r="AC14" s="20">
        <v>20</v>
      </c>
      <c r="AD14" s="20">
        <v>10</v>
      </c>
      <c r="AE14" s="20">
        <v>10</v>
      </c>
      <c r="AF14" s="20">
        <v>10</v>
      </c>
      <c r="AG14" s="20">
        <v>10</v>
      </c>
      <c r="AH14" s="20">
        <v>10</v>
      </c>
      <c r="AI14" s="20">
        <v>10</v>
      </c>
      <c r="AJ14" s="20">
        <v>10</v>
      </c>
    </row>
    <row r="15" spans="1:38" ht="15.5" customHeight="1" x14ac:dyDescent="0.35">
      <c r="A15" s="21" t="s">
        <v>235</v>
      </c>
      <c r="B15" s="20">
        <v>20</v>
      </c>
      <c r="C15" s="20">
        <v>20</v>
      </c>
      <c r="D15" s="20">
        <v>20</v>
      </c>
      <c r="E15" s="20">
        <v>20</v>
      </c>
      <c r="F15" s="20">
        <v>20</v>
      </c>
      <c r="G15" s="20">
        <v>20</v>
      </c>
      <c r="H15" s="20">
        <v>20</v>
      </c>
      <c r="I15" s="20">
        <v>20</v>
      </c>
      <c r="J15" s="20">
        <v>20</v>
      </c>
      <c r="K15" s="20">
        <v>20</v>
      </c>
      <c r="L15" s="20">
        <v>10</v>
      </c>
      <c r="M15" s="20">
        <v>20</v>
      </c>
      <c r="N15" s="20">
        <v>20</v>
      </c>
      <c r="O15" s="20">
        <v>20</v>
      </c>
      <c r="P15" s="20">
        <v>20</v>
      </c>
      <c r="Q15" s="20">
        <v>20</v>
      </c>
      <c r="R15" s="20">
        <v>20</v>
      </c>
      <c r="S15" s="20">
        <v>20</v>
      </c>
      <c r="T15" s="20">
        <v>20</v>
      </c>
      <c r="U15" s="20">
        <v>20</v>
      </c>
      <c r="V15" s="20">
        <v>20</v>
      </c>
      <c r="W15" s="20">
        <v>20</v>
      </c>
      <c r="X15" s="20">
        <v>20</v>
      </c>
      <c r="Y15" s="20">
        <v>20</v>
      </c>
      <c r="Z15" s="20">
        <v>20</v>
      </c>
      <c r="AA15" s="20">
        <v>20</v>
      </c>
      <c r="AB15" s="20">
        <v>20</v>
      </c>
      <c r="AC15" s="20">
        <v>20</v>
      </c>
      <c r="AD15" s="20">
        <v>20</v>
      </c>
      <c r="AE15" s="20">
        <v>20</v>
      </c>
      <c r="AF15" s="20">
        <v>20</v>
      </c>
      <c r="AG15" s="20">
        <v>20</v>
      </c>
      <c r="AH15" s="20">
        <v>20</v>
      </c>
      <c r="AI15" s="20">
        <v>20</v>
      </c>
      <c r="AJ15" s="20">
        <v>20</v>
      </c>
    </row>
    <row r="16" spans="1:38" ht="15.5" customHeight="1" x14ac:dyDescent="0.35">
      <c r="A16" s="21" t="s">
        <v>239</v>
      </c>
      <c r="B16" s="20">
        <v>10</v>
      </c>
      <c r="C16" s="20">
        <v>20</v>
      </c>
      <c r="D16" s="20">
        <v>10</v>
      </c>
      <c r="E16" s="20">
        <v>10</v>
      </c>
      <c r="F16" s="20">
        <v>10</v>
      </c>
      <c r="G16" s="20">
        <v>10</v>
      </c>
      <c r="H16" s="20">
        <v>10</v>
      </c>
      <c r="I16" s="20">
        <v>10</v>
      </c>
      <c r="J16" s="20">
        <v>10</v>
      </c>
      <c r="K16" s="20">
        <v>20</v>
      </c>
      <c r="L16" s="20">
        <v>10</v>
      </c>
      <c r="M16" s="20">
        <v>10</v>
      </c>
      <c r="N16" s="20">
        <v>10</v>
      </c>
      <c r="O16" s="20">
        <v>10</v>
      </c>
      <c r="P16" s="20">
        <v>10</v>
      </c>
      <c r="Q16" s="20">
        <v>10</v>
      </c>
      <c r="R16" s="20">
        <v>10</v>
      </c>
      <c r="S16" s="20">
        <v>20</v>
      </c>
      <c r="T16" s="20">
        <v>20</v>
      </c>
      <c r="U16" s="20">
        <v>10</v>
      </c>
      <c r="V16" s="20">
        <v>10</v>
      </c>
      <c r="W16" s="20">
        <v>10</v>
      </c>
      <c r="X16" s="20">
        <v>10</v>
      </c>
      <c r="Y16" s="20">
        <v>10</v>
      </c>
      <c r="Z16" s="20">
        <v>10</v>
      </c>
      <c r="AA16" s="20">
        <v>10</v>
      </c>
      <c r="AB16" s="20">
        <v>10</v>
      </c>
      <c r="AC16" s="20">
        <v>20</v>
      </c>
      <c r="AD16" s="20">
        <v>10</v>
      </c>
      <c r="AE16" s="20">
        <v>10</v>
      </c>
      <c r="AF16" s="20">
        <v>10</v>
      </c>
      <c r="AG16" s="20">
        <v>10</v>
      </c>
      <c r="AH16" s="20">
        <v>10</v>
      </c>
      <c r="AI16" s="20">
        <v>10</v>
      </c>
      <c r="AJ16" s="20">
        <v>10</v>
      </c>
    </row>
    <row r="17" spans="1:36" ht="15.5" customHeight="1" x14ac:dyDescent="0.35">
      <c r="A17" s="21" t="s">
        <v>243</v>
      </c>
      <c r="B17" s="20">
        <v>15</v>
      </c>
      <c r="C17" s="20">
        <v>20</v>
      </c>
      <c r="D17" s="20">
        <v>15</v>
      </c>
      <c r="E17" s="20">
        <v>15</v>
      </c>
      <c r="F17" s="20">
        <v>15</v>
      </c>
      <c r="G17" s="20">
        <v>15</v>
      </c>
      <c r="H17" s="20">
        <v>15</v>
      </c>
      <c r="I17" s="20">
        <v>15</v>
      </c>
      <c r="J17" s="20">
        <v>15</v>
      </c>
      <c r="K17" s="20">
        <v>20</v>
      </c>
      <c r="L17" s="20">
        <v>15</v>
      </c>
      <c r="M17" s="20">
        <v>15</v>
      </c>
      <c r="N17" s="20">
        <v>15</v>
      </c>
      <c r="O17" s="20">
        <v>15</v>
      </c>
      <c r="P17" s="20">
        <v>15</v>
      </c>
      <c r="Q17" s="20">
        <v>15</v>
      </c>
      <c r="R17" s="20">
        <v>15</v>
      </c>
      <c r="S17" s="20">
        <v>20</v>
      </c>
      <c r="T17" s="20">
        <v>20</v>
      </c>
      <c r="U17" s="20">
        <v>15</v>
      </c>
      <c r="V17" s="20">
        <v>15</v>
      </c>
      <c r="W17" s="20">
        <v>15</v>
      </c>
      <c r="X17" s="20">
        <v>15</v>
      </c>
      <c r="Y17" s="20">
        <v>15</v>
      </c>
      <c r="Z17" s="20">
        <v>15</v>
      </c>
      <c r="AA17" s="20">
        <v>15</v>
      </c>
      <c r="AB17" s="20">
        <v>15</v>
      </c>
      <c r="AC17" s="20">
        <v>20</v>
      </c>
      <c r="AD17" s="20">
        <v>15</v>
      </c>
      <c r="AE17" s="20">
        <v>15</v>
      </c>
      <c r="AF17" s="20">
        <v>15</v>
      </c>
      <c r="AG17" s="20">
        <v>15</v>
      </c>
      <c r="AH17" s="20">
        <v>15</v>
      </c>
      <c r="AI17" s="20">
        <v>15</v>
      </c>
      <c r="AJ17" s="20">
        <v>15</v>
      </c>
    </row>
    <row r="18" spans="1:36" ht="15.5" customHeight="1" x14ac:dyDescent="0.35">
      <c r="A18" s="21" t="s">
        <v>246</v>
      </c>
      <c r="B18" s="20">
        <v>15</v>
      </c>
      <c r="C18" s="20">
        <v>20</v>
      </c>
      <c r="D18" s="20">
        <v>15</v>
      </c>
      <c r="E18" s="20">
        <v>15</v>
      </c>
      <c r="F18" s="20">
        <v>15</v>
      </c>
      <c r="G18" s="20">
        <v>15</v>
      </c>
      <c r="H18" s="20">
        <v>15</v>
      </c>
      <c r="I18" s="20">
        <v>15</v>
      </c>
      <c r="J18" s="20">
        <v>15</v>
      </c>
      <c r="K18" s="20">
        <v>20</v>
      </c>
      <c r="L18" s="20">
        <v>15</v>
      </c>
      <c r="M18" s="20">
        <v>15</v>
      </c>
      <c r="N18" s="20">
        <v>15</v>
      </c>
      <c r="O18" s="20">
        <v>10</v>
      </c>
      <c r="P18" s="20">
        <v>15</v>
      </c>
      <c r="Q18" s="20">
        <v>15</v>
      </c>
      <c r="R18" s="20">
        <v>15</v>
      </c>
      <c r="S18" s="20">
        <v>20</v>
      </c>
      <c r="T18" s="20">
        <v>20</v>
      </c>
      <c r="U18" s="20">
        <v>15</v>
      </c>
      <c r="V18" s="20">
        <v>15</v>
      </c>
      <c r="W18" s="20">
        <v>15</v>
      </c>
      <c r="X18" s="20">
        <v>15</v>
      </c>
      <c r="Y18" s="20">
        <v>15</v>
      </c>
      <c r="Z18" s="20">
        <v>15</v>
      </c>
      <c r="AA18" s="20">
        <v>15</v>
      </c>
      <c r="AB18" s="20">
        <v>15</v>
      </c>
      <c r="AC18" s="20">
        <v>20</v>
      </c>
      <c r="AD18" s="20">
        <v>15</v>
      </c>
      <c r="AE18" s="20">
        <v>15</v>
      </c>
      <c r="AF18" s="20">
        <v>15</v>
      </c>
      <c r="AG18" s="20">
        <v>15</v>
      </c>
      <c r="AH18" s="20">
        <v>15</v>
      </c>
      <c r="AI18" s="20">
        <v>15</v>
      </c>
      <c r="AJ18" s="20">
        <v>15</v>
      </c>
    </row>
    <row r="19" spans="1:36" ht="15.5" customHeight="1" x14ac:dyDescent="0.35">
      <c r="A19" s="21" t="s">
        <v>249</v>
      </c>
      <c r="B19" s="20">
        <v>15</v>
      </c>
      <c r="C19" s="20">
        <v>20</v>
      </c>
      <c r="D19" s="20">
        <v>15</v>
      </c>
      <c r="E19" s="20">
        <v>15</v>
      </c>
      <c r="F19" s="20">
        <v>15</v>
      </c>
      <c r="G19" s="20">
        <v>15</v>
      </c>
      <c r="H19" s="20">
        <v>15</v>
      </c>
      <c r="I19" s="20">
        <v>15</v>
      </c>
      <c r="J19" s="20">
        <v>15</v>
      </c>
      <c r="K19" s="20">
        <v>20</v>
      </c>
      <c r="L19" s="20">
        <v>15</v>
      </c>
      <c r="M19" s="20">
        <v>15</v>
      </c>
      <c r="N19" s="20">
        <v>15</v>
      </c>
      <c r="O19" s="20">
        <v>15</v>
      </c>
      <c r="P19" s="20">
        <v>10</v>
      </c>
      <c r="Q19" s="20">
        <v>15</v>
      </c>
      <c r="R19" s="20">
        <v>15</v>
      </c>
      <c r="S19" s="20">
        <v>20</v>
      </c>
      <c r="T19" s="20">
        <v>20</v>
      </c>
      <c r="U19" s="20">
        <v>15</v>
      </c>
      <c r="V19" s="20">
        <v>15</v>
      </c>
      <c r="W19" s="20">
        <v>15</v>
      </c>
      <c r="X19" s="20">
        <v>15</v>
      </c>
      <c r="Y19" s="20">
        <v>15</v>
      </c>
      <c r="Z19" s="20">
        <v>15</v>
      </c>
      <c r="AA19" s="20">
        <v>15</v>
      </c>
      <c r="AB19" s="20">
        <v>15</v>
      </c>
      <c r="AC19" s="20">
        <v>20</v>
      </c>
      <c r="AD19" s="20">
        <v>15</v>
      </c>
      <c r="AE19" s="20">
        <v>15</v>
      </c>
      <c r="AF19" s="20">
        <v>15</v>
      </c>
      <c r="AG19" s="20">
        <v>15</v>
      </c>
      <c r="AH19" s="20">
        <v>15</v>
      </c>
      <c r="AI19" s="20">
        <v>15</v>
      </c>
      <c r="AJ19" s="20">
        <v>15</v>
      </c>
    </row>
    <row r="20" spans="1:36" ht="15.5" customHeight="1" x14ac:dyDescent="0.35">
      <c r="A20" s="21" t="s">
        <v>252</v>
      </c>
      <c r="B20" s="20">
        <v>15</v>
      </c>
      <c r="C20" s="20">
        <v>20</v>
      </c>
      <c r="D20" s="20">
        <v>15</v>
      </c>
      <c r="E20" s="20">
        <v>15</v>
      </c>
      <c r="F20" s="20">
        <v>15</v>
      </c>
      <c r="G20" s="20">
        <v>15</v>
      </c>
      <c r="H20" s="20">
        <v>15</v>
      </c>
      <c r="I20" s="20">
        <v>15</v>
      </c>
      <c r="J20" s="20">
        <v>15</v>
      </c>
      <c r="K20" s="20">
        <v>20</v>
      </c>
      <c r="L20" s="20">
        <v>15</v>
      </c>
      <c r="M20" s="20">
        <v>15</v>
      </c>
      <c r="N20" s="20">
        <v>15</v>
      </c>
      <c r="O20" s="20">
        <v>15</v>
      </c>
      <c r="P20" s="20">
        <v>15</v>
      </c>
      <c r="Q20" s="20">
        <v>10</v>
      </c>
      <c r="R20" s="20">
        <v>15</v>
      </c>
      <c r="S20" s="20">
        <v>20</v>
      </c>
      <c r="T20" s="20">
        <v>20</v>
      </c>
      <c r="U20" s="20">
        <v>15</v>
      </c>
      <c r="V20" s="20">
        <v>15</v>
      </c>
      <c r="W20" s="20">
        <v>15</v>
      </c>
      <c r="X20" s="20">
        <v>15</v>
      </c>
      <c r="Y20" s="20">
        <v>15</v>
      </c>
      <c r="Z20" s="20">
        <v>15</v>
      </c>
      <c r="AA20" s="20">
        <v>15</v>
      </c>
      <c r="AB20" s="20">
        <v>15</v>
      </c>
      <c r="AC20" s="20">
        <v>20</v>
      </c>
      <c r="AD20" s="20">
        <v>15</v>
      </c>
      <c r="AE20" s="20">
        <v>15</v>
      </c>
      <c r="AF20" s="20">
        <v>15</v>
      </c>
      <c r="AG20" s="20">
        <v>15</v>
      </c>
      <c r="AH20" s="20">
        <v>15</v>
      </c>
      <c r="AI20" s="20">
        <v>15</v>
      </c>
      <c r="AJ20" s="20">
        <v>15</v>
      </c>
    </row>
    <row r="21" spans="1:36" ht="15.5" customHeight="1" x14ac:dyDescent="0.35">
      <c r="A21" s="21" t="s">
        <v>255</v>
      </c>
      <c r="B21" s="20">
        <v>15</v>
      </c>
      <c r="C21" s="20">
        <v>20</v>
      </c>
      <c r="D21" s="20">
        <v>15</v>
      </c>
      <c r="E21" s="20">
        <v>15</v>
      </c>
      <c r="F21" s="20">
        <v>15</v>
      </c>
      <c r="G21" s="20">
        <v>15</v>
      </c>
      <c r="H21" s="20">
        <v>15</v>
      </c>
      <c r="I21" s="20">
        <v>15</v>
      </c>
      <c r="J21" s="20">
        <v>15</v>
      </c>
      <c r="K21" s="20">
        <v>20</v>
      </c>
      <c r="L21" s="20">
        <v>15</v>
      </c>
      <c r="M21" s="20">
        <v>15</v>
      </c>
      <c r="N21" s="20">
        <v>15</v>
      </c>
      <c r="O21" s="20">
        <v>15</v>
      </c>
      <c r="P21" s="20">
        <v>15</v>
      </c>
      <c r="Q21" s="20">
        <v>15</v>
      </c>
      <c r="R21" s="20">
        <v>10</v>
      </c>
      <c r="S21" s="20">
        <v>20</v>
      </c>
      <c r="T21" s="20">
        <v>20</v>
      </c>
      <c r="U21" s="20">
        <v>15</v>
      </c>
      <c r="V21" s="20">
        <v>15</v>
      </c>
      <c r="W21" s="20">
        <v>15</v>
      </c>
      <c r="X21" s="20">
        <v>15</v>
      </c>
      <c r="Y21" s="20">
        <v>15</v>
      </c>
      <c r="Z21" s="20">
        <v>15</v>
      </c>
      <c r="AA21" s="20">
        <v>15</v>
      </c>
      <c r="AB21" s="20">
        <v>15</v>
      </c>
      <c r="AC21" s="20">
        <v>20</v>
      </c>
      <c r="AD21" s="20">
        <v>15</v>
      </c>
      <c r="AE21" s="20">
        <v>15</v>
      </c>
      <c r="AF21" s="20">
        <v>15</v>
      </c>
      <c r="AG21" s="20">
        <v>15</v>
      </c>
      <c r="AH21" s="20">
        <v>15</v>
      </c>
      <c r="AI21" s="20">
        <v>15</v>
      </c>
      <c r="AJ21" s="20">
        <v>15</v>
      </c>
    </row>
    <row r="22" spans="1:36" ht="15.5" customHeight="1" x14ac:dyDescent="0.35">
      <c r="A22" s="21" t="s">
        <v>221</v>
      </c>
      <c r="B22" s="20">
        <v>15</v>
      </c>
      <c r="C22" s="20">
        <v>20</v>
      </c>
      <c r="D22" s="20">
        <v>15</v>
      </c>
      <c r="E22" s="20">
        <v>15</v>
      </c>
      <c r="F22" s="20">
        <v>15</v>
      </c>
      <c r="G22" s="20">
        <v>15</v>
      </c>
      <c r="H22" s="20">
        <v>15</v>
      </c>
      <c r="I22" s="20">
        <v>15</v>
      </c>
      <c r="J22" s="20">
        <v>15</v>
      </c>
      <c r="K22" s="20">
        <v>20</v>
      </c>
      <c r="L22" s="20">
        <v>15</v>
      </c>
      <c r="M22" s="20">
        <v>15</v>
      </c>
      <c r="N22" s="20">
        <v>15</v>
      </c>
      <c r="O22" s="20">
        <v>15</v>
      </c>
      <c r="P22" s="20">
        <v>15</v>
      </c>
      <c r="Q22" s="20">
        <v>15</v>
      </c>
      <c r="R22" s="20">
        <v>15</v>
      </c>
      <c r="S22" s="20">
        <v>10</v>
      </c>
      <c r="T22" s="20">
        <v>20</v>
      </c>
      <c r="U22" s="20">
        <v>15</v>
      </c>
      <c r="V22" s="20">
        <v>15</v>
      </c>
      <c r="W22" s="20">
        <v>15</v>
      </c>
      <c r="X22" s="20">
        <v>15</v>
      </c>
      <c r="Y22" s="20">
        <v>15</v>
      </c>
      <c r="Z22" s="20">
        <v>15</v>
      </c>
      <c r="AA22" s="20">
        <v>15</v>
      </c>
      <c r="AB22" s="20">
        <v>15</v>
      </c>
      <c r="AC22" s="20">
        <v>20</v>
      </c>
      <c r="AD22" s="20">
        <v>15</v>
      </c>
      <c r="AE22" s="20">
        <v>15</v>
      </c>
      <c r="AF22" s="20">
        <v>15</v>
      </c>
      <c r="AG22" s="20">
        <v>15</v>
      </c>
      <c r="AH22" s="20">
        <v>15</v>
      </c>
      <c r="AI22" s="20">
        <v>15</v>
      </c>
      <c r="AJ22" s="20">
        <v>15</v>
      </c>
    </row>
    <row r="23" spans="1:36" ht="15.5" customHeight="1" x14ac:dyDescent="0.35">
      <c r="A23" s="21" t="s">
        <v>196</v>
      </c>
      <c r="B23" s="20">
        <v>15</v>
      </c>
      <c r="C23" s="20">
        <v>20</v>
      </c>
      <c r="D23" s="20">
        <v>15</v>
      </c>
      <c r="E23" s="20">
        <v>15</v>
      </c>
      <c r="F23" s="20">
        <v>15</v>
      </c>
      <c r="G23" s="20">
        <v>15</v>
      </c>
      <c r="H23" s="20">
        <v>15</v>
      </c>
      <c r="I23" s="20">
        <v>15</v>
      </c>
      <c r="J23" s="20">
        <v>15</v>
      </c>
      <c r="K23" s="20">
        <v>20</v>
      </c>
      <c r="L23" s="20">
        <v>15</v>
      </c>
      <c r="M23" s="20">
        <v>15</v>
      </c>
      <c r="N23" s="20">
        <v>15</v>
      </c>
      <c r="O23" s="20">
        <v>15</v>
      </c>
      <c r="P23" s="20">
        <v>15</v>
      </c>
      <c r="Q23" s="20">
        <v>15</v>
      </c>
      <c r="R23" s="20">
        <v>15</v>
      </c>
      <c r="S23" s="20">
        <v>20</v>
      </c>
      <c r="T23" s="20">
        <v>10</v>
      </c>
      <c r="U23" s="20">
        <v>15</v>
      </c>
      <c r="V23" s="20">
        <v>15</v>
      </c>
      <c r="W23" s="20">
        <v>15</v>
      </c>
      <c r="X23" s="20">
        <v>15</v>
      </c>
      <c r="Y23" s="20">
        <v>15</v>
      </c>
      <c r="Z23" s="20">
        <v>15</v>
      </c>
      <c r="AA23" s="20">
        <v>15</v>
      </c>
      <c r="AB23" s="20">
        <v>15</v>
      </c>
      <c r="AC23" s="20">
        <v>20</v>
      </c>
      <c r="AD23" s="20">
        <v>15</v>
      </c>
      <c r="AE23" s="20">
        <v>15</v>
      </c>
      <c r="AF23" s="20">
        <v>15</v>
      </c>
      <c r="AG23" s="20">
        <v>15</v>
      </c>
      <c r="AH23" s="20">
        <v>15</v>
      </c>
      <c r="AI23" s="20">
        <v>15</v>
      </c>
      <c r="AJ23" s="20">
        <v>15</v>
      </c>
    </row>
    <row r="24" spans="1:36" ht="15.5" customHeight="1" x14ac:dyDescent="0.35">
      <c r="A24" s="21" t="s">
        <v>169</v>
      </c>
      <c r="B24" s="20">
        <v>15</v>
      </c>
      <c r="C24" s="20">
        <v>20</v>
      </c>
      <c r="D24" s="20">
        <v>15</v>
      </c>
      <c r="E24" s="20">
        <v>15</v>
      </c>
      <c r="F24" s="20">
        <v>15</v>
      </c>
      <c r="G24" s="20">
        <v>15</v>
      </c>
      <c r="H24" s="20">
        <v>15</v>
      </c>
      <c r="I24" s="20">
        <v>15</v>
      </c>
      <c r="J24" s="20">
        <v>15</v>
      </c>
      <c r="K24" s="20">
        <v>20</v>
      </c>
      <c r="L24" s="20">
        <v>15</v>
      </c>
      <c r="M24" s="20">
        <v>15</v>
      </c>
      <c r="N24" s="20">
        <v>15</v>
      </c>
      <c r="O24" s="20">
        <v>15</v>
      </c>
      <c r="P24" s="20">
        <v>15</v>
      </c>
      <c r="Q24" s="20">
        <v>15</v>
      </c>
      <c r="R24" s="20">
        <v>15</v>
      </c>
      <c r="S24" s="20">
        <v>20</v>
      </c>
      <c r="T24" s="20">
        <v>20</v>
      </c>
      <c r="U24" s="20">
        <v>10</v>
      </c>
      <c r="V24" s="20">
        <v>15</v>
      </c>
      <c r="W24" s="20">
        <v>15</v>
      </c>
      <c r="X24" s="20">
        <v>15</v>
      </c>
      <c r="Y24" s="20">
        <v>15</v>
      </c>
      <c r="Z24" s="20">
        <v>15</v>
      </c>
      <c r="AA24" s="20">
        <v>15</v>
      </c>
      <c r="AB24" s="20">
        <v>15</v>
      </c>
      <c r="AC24" s="20">
        <v>20</v>
      </c>
      <c r="AD24" s="20">
        <v>15</v>
      </c>
      <c r="AE24" s="20">
        <v>15</v>
      </c>
      <c r="AF24" s="20">
        <v>15</v>
      </c>
      <c r="AG24" s="20">
        <v>15</v>
      </c>
      <c r="AH24" s="20">
        <v>15</v>
      </c>
      <c r="AI24" s="20">
        <v>15</v>
      </c>
      <c r="AJ24" s="20">
        <v>15</v>
      </c>
    </row>
    <row r="25" spans="1:36" ht="15.5" customHeight="1" x14ac:dyDescent="0.35">
      <c r="A25" s="21" t="s">
        <v>268</v>
      </c>
      <c r="B25" s="20">
        <v>15</v>
      </c>
      <c r="C25" s="20">
        <v>20</v>
      </c>
      <c r="D25" s="20">
        <v>15</v>
      </c>
      <c r="E25" s="20">
        <v>15</v>
      </c>
      <c r="F25" s="20">
        <v>15</v>
      </c>
      <c r="G25" s="20">
        <v>15</v>
      </c>
      <c r="H25" s="20">
        <v>15</v>
      </c>
      <c r="I25" s="20">
        <v>15</v>
      </c>
      <c r="J25" s="20">
        <v>15</v>
      </c>
      <c r="K25" s="20">
        <v>20</v>
      </c>
      <c r="L25" s="20">
        <v>15</v>
      </c>
      <c r="M25" s="20">
        <v>15</v>
      </c>
      <c r="N25" s="20">
        <v>15</v>
      </c>
      <c r="O25" s="20">
        <v>15</v>
      </c>
      <c r="P25" s="20">
        <v>15</v>
      </c>
      <c r="Q25" s="20">
        <v>15</v>
      </c>
      <c r="R25" s="20">
        <v>15</v>
      </c>
      <c r="S25" s="20">
        <v>20</v>
      </c>
      <c r="T25" s="20">
        <v>20</v>
      </c>
      <c r="U25" s="20">
        <v>15</v>
      </c>
      <c r="V25" s="20">
        <v>10</v>
      </c>
      <c r="W25" s="20">
        <v>15</v>
      </c>
      <c r="X25" s="20">
        <v>15</v>
      </c>
      <c r="Y25" s="20">
        <v>15</v>
      </c>
      <c r="Z25" s="20">
        <v>15</v>
      </c>
      <c r="AA25" s="20">
        <v>15</v>
      </c>
      <c r="AB25" s="20">
        <v>15</v>
      </c>
      <c r="AC25" s="20">
        <v>20</v>
      </c>
      <c r="AD25" s="20">
        <v>15</v>
      </c>
      <c r="AE25" s="20">
        <v>15</v>
      </c>
      <c r="AF25" s="20">
        <v>15</v>
      </c>
      <c r="AG25" s="20">
        <v>15</v>
      </c>
      <c r="AH25" s="20">
        <v>15</v>
      </c>
      <c r="AI25" s="20">
        <v>15</v>
      </c>
      <c r="AJ25" s="20">
        <v>15</v>
      </c>
    </row>
    <row r="26" spans="1:36" ht="15.5" customHeight="1" x14ac:dyDescent="0.35">
      <c r="A26" s="21" t="s">
        <v>271</v>
      </c>
      <c r="B26" s="20">
        <v>15</v>
      </c>
      <c r="C26" s="20">
        <v>20</v>
      </c>
      <c r="D26" s="20">
        <v>15</v>
      </c>
      <c r="E26" s="20">
        <v>15</v>
      </c>
      <c r="F26" s="20">
        <v>15</v>
      </c>
      <c r="G26" s="20">
        <v>15</v>
      </c>
      <c r="H26" s="20">
        <v>15</v>
      </c>
      <c r="I26" s="20">
        <v>15</v>
      </c>
      <c r="J26" s="20">
        <v>15</v>
      </c>
      <c r="K26" s="20">
        <v>20</v>
      </c>
      <c r="L26" s="20">
        <v>15</v>
      </c>
      <c r="M26" s="20">
        <v>15</v>
      </c>
      <c r="N26" s="20">
        <v>15</v>
      </c>
      <c r="O26" s="20">
        <v>15</v>
      </c>
      <c r="P26" s="20">
        <v>15</v>
      </c>
      <c r="Q26" s="20">
        <v>15</v>
      </c>
      <c r="R26" s="20">
        <v>15</v>
      </c>
      <c r="S26" s="20">
        <v>20</v>
      </c>
      <c r="T26" s="20">
        <v>20</v>
      </c>
      <c r="U26" s="20">
        <v>15</v>
      </c>
      <c r="V26" s="20">
        <v>15</v>
      </c>
      <c r="W26" s="20">
        <v>10</v>
      </c>
      <c r="X26" s="20">
        <v>15</v>
      </c>
      <c r="Y26" s="20">
        <v>15</v>
      </c>
      <c r="Z26" s="20">
        <v>15</v>
      </c>
      <c r="AA26" s="20">
        <v>15</v>
      </c>
      <c r="AB26" s="20">
        <v>15</v>
      </c>
      <c r="AC26" s="20">
        <v>20</v>
      </c>
      <c r="AD26" s="20">
        <v>15</v>
      </c>
      <c r="AE26" s="20">
        <v>15</v>
      </c>
      <c r="AF26" s="20">
        <v>15</v>
      </c>
      <c r="AG26" s="20">
        <v>15</v>
      </c>
      <c r="AH26" s="20">
        <v>15</v>
      </c>
      <c r="AI26" s="20">
        <v>15</v>
      </c>
      <c r="AJ26" s="20">
        <v>15</v>
      </c>
    </row>
    <row r="27" spans="1:36" ht="15.5" customHeight="1" x14ac:dyDescent="0.35">
      <c r="A27" s="21" t="s">
        <v>192</v>
      </c>
      <c r="B27" s="20">
        <v>15</v>
      </c>
      <c r="C27" s="20">
        <v>20</v>
      </c>
      <c r="D27" s="20">
        <v>15</v>
      </c>
      <c r="E27" s="20">
        <v>15</v>
      </c>
      <c r="F27" s="20">
        <v>15</v>
      </c>
      <c r="G27" s="20">
        <v>15</v>
      </c>
      <c r="H27" s="20">
        <v>15</v>
      </c>
      <c r="I27" s="20">
        <v>15</v>
      </c>
      <c r="J27" s="20">
        <v>15</v>
      </c>
      <c r="K27" s="20">
        <v>20</v>
      </c>
      <c r="L27" s="20">
        <v>15</v>
      </c>
      <c r="M27" s="20">
        <v>15</v>
      </c>
      <c r="N27" s="20">
        <v>15</v>
      </c>
      <c r="O27" s="20">
        <v>15</v>
      </c>
      <c r="P27" s="20">
        <v>15</v>
      </c>
      <c r="Q27" s="20">
        <v>15</v>
      </c>
      <c r="R27" s="20">
        <v>15</v>
      </c>
      <c r="S27" s="20">
        <v>20</v>
      </c>
      <c r="T27" s="20">
        <v>20</v>
      </c>
      <c r="U27" s="20">
        <v>15</v>
      </c>
      <c r="V27" s="20">
        <v>15</v>
      </c>
      <c r="W27" s="20">
        <v>15</v>
      </c>
      <c r="X27" s="20">
        <v>10</v>
      </c>
      <c r="Y27" s="20">
        <v>15</v>
      </c>
      <c r="Z27" s="20">
        <v>15</v>
      </c>
      <c r="AA27" s="20">
        <v>15</v>
      </c>
      <c r="AB27" s="20">
        <v>15</v>
      </c>
      <c r="AC27" s="20">
        <v>20</v>
      </c>
      <c r="AD27" s="20">
        <v>15</v>
      </c>
      <c r="AE27" s="20">
        <v>15</v>
      </c>
      <c r="AF27" s="20">
        <v>15</v>
      </c>
      <c r="AG27" s="20">
        <v>15</v>
      </c>
      <c r="AH27" s="20">
        <v>15</v>
      </c>
      <c r="AI27" s="20">
        <v>15</v>
      </c>
      <c r="AJ27" s="20">
        <v>15</v>
      </c>
    </row>
    <row r="28" spans="1:36" ht="15.5" customHeight="1" x14ac:dyDescent="0.35">
      <c r="A28" s="21" t="s">
        <v>159</v>
      </c>
      <c r="B28" s="20">
        <v>10</v>
      </c>
      <c r="C28" s="20">
        <v>20</v>
      </c>
      <c r="D28" s="20">
        <v>10</v>
      </c>
      <c r="E28" s="20">
        <v>15</v>
      </c>
      <c r="F28" s="20">
        <v>10</v>
      </c>
      <c r="G28" s="20">
        <v>15</v>
      </c>
      <c r="H28" s="20">
        <v>15</v>
      </c>
      <c r="I28" s="20">
        <v>15</v>
      </c>
      <c r="J28" s="20">
        <v>15</v>
      </c>
      <c r="K28" s="20">
        <v>20</v>
      </c>
      <c r="L28" s="20">
        <v>15</v>
      </c>
      <c r="M28" s="20">
        <v>15</v>
      </c>
      <c r="N28" s="20">
        <v>15</v>
      </c>
      <c r="O28" s="20">
        <v>15</v>
      </c>
      <c r="P28" s="20">
        <v>15</v>
      </c>
      <c r="Q28" s="20">
        <v>15</v>
      </c>
      <c r="R28" s="20">
        <v>15</v>
      </c>
      <c r="S28" s="20">
        <v>20</v>
      </c>
      <c r="T28" s="20">
        <v>20</v>
      </c>
      <c r="U28" s="20">
        <v>15</v>
      </c>
      <c r="V28" s="20">
        <v>15</v>
      </c>
      <c r="W28" s="20">
        <v>15</v>
      </c>
      <c r="X28" s="20">
        <v>15</v>
      </c>
      <c r="Y28" s="20">
        <v>10</v>
      </c>
      <c r="Z28" s="20">
        <v>15</v>
      </c>
      <c r="AA28" s="20">
        <v>15</v>
      </c>
      <c r="AB28" s="20">
        <v>15</v>
      </c>
      <c r="AC28" s="20">
        <v>20</v>
      </c>
      <c r="AD28" s="20">
        <v>15</v>
      </c>
      <c r="AE28" s="20">
        <v>15</v>
      </c>
      <c r="AF28" s="20">
        <v>15</v>
      </c>
      <c r="AG28" s="20">
        <v>15</v>
      </c>
      <c r="AH28" s="20">
        <v>15</v>
      </c>
      <c r="AI28" s="20">
        <v>15</v>
      </c>
      <c r="AJ28" s="20">
        <v>15</v>
      </c>
    </row>
    <row r="29" spans="1:36" ht="15.5" customHeight="1" x14ac:dyDescent="0.35">
      <c r="A29" s="21" t="s">
        <v>282</v>
      </c>
      <c r="B29" s="20">
        <v>15</v>
      </c>
      <c r="C29" s="20">
        <v>20</v>
      </c>
      <c r="D29" s="20">
        <v>15</v>
      </c>
      <c r="E29" s="20">
        <v>15</v>
      </c>
      <c r="F29" s="20">
        <v>15</v>
      </c>
      <c r="G29" s="20">
        <v>15</v>
      </c>
      <c r="H29" s="20">
        <v>15</v>
      </c>
      <c r="I29" s="20">
        <v>15</v>
      </c>
      <c r="J29" s="20">
        <v>15</v>
      </c>
      <c r="K29" s="20">
        <v>20</v>
      </c>
      <c r="L29" s="20">
        <v>15</v>
      </c>
      <c r="M29" s="20">
        <v>15</v>
      </c>
      <c r="N29" s="20">
        <v>15</v>
      </c>
      <c r="O29" s="20">
        <v>15</v>
      </c>
      <c r="P29" s="20">
        <v>15</v>
      </c>
      <c r="Q29" s="20">
        <v>15</v>
      </c>
      <c r="R29" s="20">
        <v>15</v>
      </c>
      <c r="S29" s="20">
        <v>20</v>
      </c>
      <c r="T29" s="20">
        <v>20</v>
      </c>
      <c r="U29" s="20">
        <v>15</v>
      </c>
      <c r="V29" s="20">
        <v>15</v>
      </c>
      <c r="W29" s="20">
        <v>15</v>
      </c>
      <c r="X29" s="20">
        <v>15</v>
      </c>
      <c r="Y29" s="20">
        <v>15</v>
      </c>
      <c r="Z29" s="20">
        <v>10</v>
      </c>
      <c r="AA29" s="20">
        <v>15</v>
      </c>
      <c r="AB29" s="20">
        <v>15</v>
      </c>
      <c r="AC29" s="20">
        <v>20</v>
      </c>
      <c r="AD29" s="20">
        <v>15</v>
      </c>
      <c r="AE29" s="20">
        <v>15</v>
      </c>
      <c r="AF29" s="20">
        <v>15</v>
      </c>
      <c r="AG29" s="20">
        <v>15</v>
      </c>
      <c r="AH29" s="20">
        <v>15</v>
      </c>
      <c r="AI29" s="20">
        <v>15</v>
      </c>
      <c r="AJ29" s="20">
        <v>15</v>
      </c>
    </row>
    <row r="30" spans="1:36" ht="15.5" customHeight="1" x14ac:dyDescent="0.35">
      <c r="A30" s="21" t="s">
        <v>260</v>
      </c>
      <c r="B30" s="20">
        <v>15</v>
      </c>
      <c r="C30" s="20">
        <v>20</v>
      </c>
      <c r="D30" s="20">
        <v>15</v>
      </c>
      <c r="E30" s="20">
        <v>15</v>
      </c>
      <c r="F30" s="20">
        <v>15</v>
      </c>
      <c r="G30" s="20">
        <v>15</v>
      </c>
      <c r="H30" s="20">
        <v>15</v>
      </c>
      <c r="I30" s="20">
        <v>15</v>
      </c>
      <c r="J30" s="20">
        <v>15</v>
      </c>
      <c r="K30" s="20">
        <v>20</v>
      </c>
      <c r="L30" s="20">
        <v>15</v>
      </c>
      <c r="M30" s="20">
        <v>15</v>
      </c>
      <c r="N30" s="20">
        <v>15</v>
      </c>
      <c r="O30" s="20">
        <v>15</v>
      </c>
      <c r="P30" s="20">
        <v>15</v>
      </c>
      <c r="Q30" s="20">
        <v>15</v>
      </c>
      <c r="R30" s="20">
        <v>15</v>
      </c>
      <c r="S30" s="20">
        <v>20</v>
      </c>
      <c r="T30" s="20">
        <v>20</v>
      </c>
      <c r="U30" s="20">
        <v>15</v>
      </c>
      <c r="V30" s="20">
        <v>15</v>
      </c>
      <c r="W30" s="20">
        <v>15</v>
      </c>
      <c r="X30" s="20">
        <v>15</v>
      </c>
      <c r="Y30" s="20">
        <v>15</v>
      </c>
      <c r="Z30" s="20">
        <v>15</v>
      </c>
      <c r="AA30" s="20">
        <v>10</v>
      </c>
      <c r="AB30" s="20">
        <v>15</v>
      </c>
      <c r="AC30" s="20">
        <v>20</v>
      </c>
      <c r="AD30" s="20">
        <v>15</v>
      </c>
      <c r="AE30" s="20">
        <v>15</v>
      </c>
      <c r="AF30" s="20">
        <v>15</v>
      </c>
      <c r="AG30" s="20">
        <v>15</v>
      </c>
      <c r="AH30" s="20">
        <v>15</v>
      </c>
      <c r="AI30" s="20">
        <v>15</v>
      </c>
      <c r="AJ30" s="20">
        <v>15</v>
      </c>
    </row>
    <row r="31" spans="1:36" ht="15.5" customHeight="1" x14ac:dyDescent="0.35">
      <c r="A31" s="21" t="s">
        <v>291</v>
      </c>
      <c r="B31" s="20">
        <v>15</v>
      </c>
      <c r="C31" s="20">
        <v>20</v>
      </c>
      <c r="D31" s="20">
        <v>15</v>
      </c>
      <c r="E31" s="20">
        <v>15</v>
      </c>
      <c r="F31" s="20">
        <v>15</v>
      </c>
      <c r="G31" s="20">
        <v>15</v>
      </c>
      <c r="H31" s="20">
        <v>15</v>
      </c>
      <c r="I31" s="20">
        <v>15</v>
      </c>
      <c r="J31" s="20">
        <v>15</v>
      </c>
      <c r="K31" s="20">
        <v>20</v>
      </c>
      <c r="L31" s="20">
        <v>15</v>
      </c>
      <c r="M31" s="20">
        <v>15</v>
      </c>
      <c r="N31" s="20">
        <v>15</v>
      </c>
      <c r="O31" s="20">
        <v>15</v>
      </c>
      <c r="P31" s="20">
        <v>15</v>
      </c>
      <c r="Q31" s="20">
        <v>15</v>
      </c>
      <c r="R31" s="20">
        <v>15</v>
      </c>
      <c r="S31" s="20">
        <v>20</v>
      </c>
      <c r="T31" s="20">
        <v>20</v>
      </c>
      <c r="U31" s="20">
        <v>15</v>
      </c>
      <c r="V31" s="20">
        <v>15</v>
      </c>
      <c r="W31" s="20">
        <v>15</v>
      </c>
      <c r="X31" s="20">
        <v>15</v>
      </c>
      <c r="Y31" s="20">
        <v>15</v>
      </c>
      <c r="Z31" s="20">
        <v>15</v>
      </c>
      <c r="AA31" s="20">
        <v>15</v>
      </c>
      <c r="AB31" s="20">
        <v>10</v>
      </c>
      <c r="AC31" s="20">
        <v>20</v>
      </c>
      <c r="AD31" s="20">
        <v>15</v>
      </c>
      <c r="AE31" s="20">
        <v>15</v>
      </c>
      <c r="AF31" s="20">
        <v>15</v>
      </c>
      <c r="AG31" s="20">
        <v>15</v>
      </c>
      <c r="AH31" s="20">
        <v>15</v>
      </c>
      <c r="AI31" s="20">
        <v>15</v>
      </c>
      <c r="AJ31" s="20">
        <v>15</v>
      </c>
    </row>
    <row r="32" spans="1:36" ht="15.5" customHeight="1" x14ac:dyDescent="0.35">
      <c r="A32" s="21" t="s">
        <v>295</v>
      </c>
      <c r="B32" s="20">
        <v>15</v>
      </c>
      <c r="C32" s="20">
        <v>20</v>
      </c>
      <c r="D32" s="20">
        <v>15</v>
      </c>
      <c r="E32" s="20">
        <v>15</v>
      </c>
      <c r="F32" s="20">
        <v>15</v>
      </c>
      <c r="G32" s="20">
        <v>15</v>
      </c>
      <c r="H32" s="20">
        <v>15</v>
      </c>
      <c r="I32" s="20">
        <v>15</v>
      </c>
      <c r="J32" s="20">
        <v>15</v>
      </c>
      <c r="K32" s="20">
        <v>20</v>
      </c>
      <c r="L32" s="20">
        <v>15</v>
      </c>
      <c r="M32" s="20">
        <v>15</v>
      </c>
      <c r="N32" s="20">
        <v>15</v>
      </c>
      <c r="O32" s="20">
        <v>15</v>
      </c>
      <c r="P32" s="20">
        <v>15</v>
      </c>
      <c r="Q32" s="20">
        <v>15</v>
      </c>
      <c r="R32" s="20">
        <v>15</v>
      </c>
      <c r="S32" s="20">
        <v>20</v>
      </c>
      <c r="T32" s="20">
        <v>20</v>
      </c>
      <c r="U32" s="20">
        <v>15</v>
      </c>
      <c r="V32" s="20">
        <v>15</v>
      </c>
      <c r="W32" s="20">
        <v>15</v>
      </c>
      <c r="X32" s="20">
        <v>15</v>
      </c>
      <c r="Y32" s="20">
        <v>15</v>
      </c>
      <c r="Z32" s="20">
        <v>15</v>
      </c>
      <c r="AA32" s="20">
        <v>15</v>
      </c>
      <c r="AB32" s="20">
        <v>15</v>
      </c>
      <c r="AC32" s="20">
        <v>10</v>
      </c>
      <c r="AD32" s="20">
        <v>15</v>
      </c>
      <c r="AE32" s="20">
        <v>15</v>
      </c>
      <c r="AF32" s="20">
        <v>15</v>
      </c>
      <c r="AG32" s="20">
        <v>15</v>
      </c>
      <c r="AH32" s="20">
        <v>15</v>
      </c>
      <c r="AI32" s="20">
        <v>15</v>
      </c>
      <c r="AJ32" s="20">
        <v>15</v>
      </c>
    </row>
    <row r="33" spans="1:36" ht="15.5" customHeight="1" x14ac:dyDescent="0.35">
      <c r="A33" s="21" t="s">
        <v>299</v>
      </c>
      <c r="B33" s="20">
        <v>15</v>
      </c>
      <c r="C33" s="20">
        <v>20</v>
      </c>
      <c r="D33" s="20">
        <v>15</v>
      </c>
      <c r="E33" s="20">
        <v>15</v>
      </c>
      <c r="F33" s="20">
        <v>15</v>
      </c>
      <c r="G33" s="20">
        <v>15</v>
      </c>
      <c r="H33" s="20">
        <v>15</v>
      </c>
      <c r="I33" s="20">
        <v>15</v>
      </c>
      <c r="J33" s="20">
        <v>15</v>
      </c>
      <c r="K33" s="20">
        <v>20</v>
      </c>
      <c r="L33" s="20">
        <v>15</v>
      </c>
      <c r="M33" s="20">
        <v>15</v>
      </c>
      <c r="N33" s="20">
        <v>15</v>
      </c>
      <c r="O33" s="20">
        <v>15</v>
      </c>
      <c r="P33" s="20">
        <v>15</v>
      </c>
      <c r="Q33" s="20">
        <v>15</v>
      </c>
      <c r="R33" s="20">
        <v>15</v>
      </c>
      <c r="S33" s="20">
        <v>20</v>
      </c>
      <c r="T33" s="20">
        <v>20</v>
      </c>
      <c r="U33" s="20">
        <v>15</v>
      </c>
      <c r="V33" s="20">
        <v>15</v>
      </c>
      <c r="W33" s="20">
        <v>15</v>
      </c>
      <c r="X33" s="20">
        <v>15</v>
      </c>
      <c r="Y33" s="20">
        <v>15</v>
      </c>
      <c r="Z33" s="20">
        <v>15</v>
      </c>
      <c r="AA33" s="20">
        <v>15</v>
      </c>
      <c r="AB33" s="20">
        <v>15</v>
      </c>
      <c r="AC33" s="20">
        <v>20</v>
      </c>
      <c r="AD33" s="20">
        <v>10</v>
      </c>
      <c r="AE33" s="20">
        <v>15</v>
      </c>
      <c r="AF33" s="20">
        <v>15</v>
      </c>
      <c r="AG33" s="20">
        <v>15</v>
      </c>
      <c r="AH33" s="20">
        <v>15</v>
      </c>
      <c r="AI33" s="20">
        <v>15</v>
      </c>
      <c r="AJ33" s="20">
        <v>15</v>
      </c>
    </row>
    <row r="34" spans="1:36" ht="15.5" customHeight="1" x14ac:dyDescent="0.35">
      <c r="A34" s="21" t="s">
        <v>280</v>
      </c>
      <c r="B34" s="20">
        <v>15</v>
      </c>
      <c r="C34" s="20">
        <v>20</v>
      </c>
      <c r="D34" s="20">
        <v>15</v>
      </c>
      <c r="E34" s="20">
        <v>15</v>
      </c>
      <c r="F34" s="20">
        <v>15</v>
      </c>
      <c r="G34" s="20">
        <v>15</v>
      </c>
      <c r="H34" s="20">
        <v>15</v>
      </c>
      <c r="I34" s="20">
        <v>15</v>
      </c>
      <c r="J34" s="20">
        <v>15</v>
      </c>
      <c r="K34" s="20">
        <v>20</v>
      </c>
      <c r="L34" s="20">
        <v>15</v>
      </c>
      <c r="M34" s="20">
        <v>15</v>
      </c>
      <c r="N34" s="20">
        <v>15</v>
      </c>
      <c r="O34" s="20">
        <v>15</v>
      </c>
      <c r="P34" s="20">
        <v>15</v>
      </c>
      <c r="Q34" s="20">
        <v>15</v>
      </c>
      <c r="R34" s="20">
        <v>15</v>
      </c>
      <c r="S34" s="20">
        <v>20</v>
      </c>
      <c r="T34" s="20">
        <v>20</v>
      </c>
      <c r="U34" s="20">
        <v>15</v>
      </c>
      <c r="V34" s="20">
        <v>15</v>
      </c>
      <c r="W34" s="20">
        <v>15</v>
      </c>
      <c r="X34" s="20">
        <v>15</v>
      </c>
      <c r="Y34" s="20">
        <v>15</v>
      </c>
      <c r="Z34" s="20">
        <v>15</v>
      </c>
      <c r="AA34" s="20">
        <v>15</v>
      </c>
      <c r="AB34" s="20">
        <v>15</v>
      </c>
      <c r="AC34" s="20">
        <v>20</v>
      </c>
      <c r="AD34" s="20">
        <v>15</v>
      </c>
      <c r="AE34" s="20">
        <v>10</v>
      </c>
      <c r="AF34" s="20">
        <v>15</v>
      </c>
      <c r="AG34" s="20">
        <v>15</v>
      </c>
      <c r="AH34" s="20">
        <v>15</v>
      </c>
      <c r="AI34" s="20">
        <v>15</v>
      </c>
      <c r="AJ34" s="20">
        <v>15</v>
      </c>
    </row>
    <row r="35" spans="1:36" ht="15.5" customHeight="1" x14ac:dyDescent="0.35">
      <c r="A35" s="21" t="s">
        <v>276</v>
      </c>
      <c r="B35" s="20">
        <v>15</v>
      </c>
      <c r="C35" s="20">
        <v>20</v>
      </c>
      <c r="D35" s="20">
        <v>15</v>
      </c>
      <c r="E35" s="20">
        <v>15</v>
      </c>
      <c r="F35" s="20">
        <v>15</v>
      </c>
      <c r="G35" s="20">
        <v>15</v>
      </c>
      <c r="H35" s="20">
        <v>15</v>
      </c>
      <c r="I35" s="20">
        <v>15</v>
      </c>
      <c r="J35" s="20">
        <v>15</v>
      </c>
      <c r="K35" s="20">
        <v>20</v>
      </c>
      <c r="L35" s="20">
        <v>15</v>
      </c>
      <c r="M35" s="20">
        <v>15</v>
      </c>
      <c r="N35" s="20">
        <v>15</v>
      </c>
      <c r="O35" s="20">
        <v>15</v>
      </c>
      <c r="P35" s="20">
        <v>15</v>
      </c>
      <c r="Q35" s="20">
        <v>15</v>
      </c>
      <c r="R35" s="20">
        <v>15</v>
      </c>
      <c r="S35" s="20">
        <v>20</v>
      </c>
      <c r="T35" s="20">
        <v>20</v>
      </c>
      <c r="U35" s="20">
        <v>15</v>
      </c>
      <c r="V35" s="20">
        <v>15</v>
      </c>
      <c r="W35" s="20">
        <v>15</v>
      </c>
      <c r="X35" s="20">
        <v>15</v>
      </c>
      <c r="Y35" s="20">
        <v>15</v>
      </c>
      <c r="Z35" s="20">
        <v>15</v>
      </c>
      <c r="AA35" s="20">
        <v>15</v>
      </c>
      <c r="AB35" s="20">
        <v>15</v>
      </c>
      <c r="AC35" s="20">
        <v>20</v>
      </c>
      <c r="AD35" s="20">
        <v>15</v>
      </c>
      <c r="AE35" s="20">
        <v>15</v>
      </c>
      <c r="AF35" s="20">
        <v>10</v>
      </c>
      <c r="AG35" s="20">
        <v>15</v>
      </c>
      <c r="AH35" s="20">
        <v>15</v>
      </c>
      <c r="AI35" s="20">
        <v>15</v>
      </c>
      <c r="AJ35" s="20">
        <v>15</v>
      </c>
    </row>
    <row r="36" spans="1:36" ht="15.5" customHeight="1" x14ac:dyDescent="0.35">
      <c r="A36" s="21" t="s">
        <v>308</v>
      </c>
      <c r="B36" s="20">
        <v>15</v>
      </c>
      <c r="C36" s="20">
        <v>20</v>
      </c>
      <c r="D36" s="20">
        <v>15</v>
      </c>
      <c r="E36" s="20">
        <v>15</v>
      </c>
      <c r="F36" s="20">
        <v>15</v>
      </c>
      <c r="G36" s="20">
        <v>15</v>
      </c>
      <c r="H36" s="20">
        <v>15</v>
      </c>
      <c r="I36" s="20">
        <v>15</v>
      </c>
      <c r="J36" s="20">
        <v>15</v>
      </c>
      <c r="K36" s="20">
        <v>20</v>
      </c>
      <c r="L36" s="20">
        <v>15</v>
      </c>
      <c r="M36" s="20">
        <v>15</v>
      </c>
      <c r="N36" s="20">
        <v>15</v>
      </c>
      <c r="O36" s="20">
        <v>15</v>
      </c>
      <c r="P36" s="20">
        <v>15</v>
      </c>
      <c r="Q36" s="20">
        <v>15</v>
      </c>
      <c r="R36" s="20">
        <v>15</v>
      </c>
      <c r="S36" s="20">
        <v>20</v>
      </c>
      <c r="T36" s="20">
        <v>20</v>
      </c>
      <c r="U36" s="20">
        <v>15</v>
      </c>
      <c r="V36" s="20">
        <v>15</v>
      </c>
      <c r="W36" s="20">
        <v>15</v>
      </c>
      <c r="X36" s="20">
        <v>15</v>
      </c>
      <c r="Y36" s="20">
        <v>15</v>
      </c>
      <c r="Z36" s="20">
        <v>15</v>
      </c>
      <c r="AA36" s="20">
        <v>15</v>
      </c>
      <c r="AB36" s="20">
        <v>15</v>
      </c>
      <c r="AC36" s="20">
        <v>20</v>
      </c>
      <c r="AD36" s="20">
        <v>15</v>
      </c>
      <c r="AE36" s="20">
        <v>15</v>
      </c>
      <c r="AF36" s="20">
        <v>15</v>
      </c>
      <c r="AG36" s="20">
        <v>10</v>
      </c>
      <c r="AH36" s="20">
        <v>15</v>
      </c>
      <c r="AI36" s="20">
        <v>15</v>
      </c>
      <c r="AJ36" s="20">
        <v>15</v>
      </c>
    </row>
    <row r="37" spans="1:36" ht="15.5" customHeight="1" x14ac:dyDescent="0.35">
      <c r="A37" s="21" t="s">
        <v>189</v>
      </c>
      <c r="B37" s="20">
        <v>15</v>
      </c>
      <c r="C37" s="20">
        <v>20</v>
      </c>
      <c r="D37" s="20">
        <v>15</v>
      </c>
      <c r="E37" s="20">
        <v>15</v>
      </c>
      <c r="F37" s="20">
        <v>15</v>
      </c>
      <c r="G37" s="20">
        <v>15</v>
      </c>
      <c r="H37" s="20">
        <v>15</v>
      </c>
      <c r="I37" s="20">
        <v>15</v>
      </c>
      <c r="J37" s="20">
        <v>15</v>
      </c>
      <c r="K37" s="20">
        <v>20</v>
      </c>
      <c r="L37" s="20">
        <v>15</v>
      </c>
      <c r="M37" s="20">
        <v>15</v>
      </c>
      <c r="N37" s="20">
        <v>15</v>
      </c>
      <c r="O37" s="20">
        <v>15</v>
      </c>
      <c r="P37" s="20">
        <v>15</v>
      </c>
      <c r="Q37" s="20">
        <v>15</v>
      </c>
      <c r="R37" s="20">
        <v>15</v>
      </c>
      <c r="S37" s="20">
        <v>20</v>
      </c>
      <c r="T37" s="20">
        <v>20</v>
      </c>
      <c r="U37" s="20">
        <v>15</v>
      </c>
      <c r="V37" s="20">
        <v>15</v>
      </c>
      <c r="W37" s="20">
        <v>15</v>
      </c>
      <c r="X37" s="20">
        <v>15</v>
      </c>
      <c r="Y37" s="20">
        <v>15</v>
      </c>
      <c r="Z37" s="20">
        <v>15</v>
      </c>
      <c r="AA37" s="20">
        <v>15</v>
      </c>
      <c r="AB37" s="20">
        <v>15</v>
      </c>
      <c r="AC37" s="20">
        <v>20</v>
      </c>
      <c r="AD37" s="20">
        <v>15</v>
      </c>
      <c r="AE37" s="20">
        <v>15</v>
      </c>
      <c r="AF37" s="20">
        <v>15</v>
      </c>
      <c r="AG37" s="20">
        <v>15</v>
      </c>
      <c r="AH37" s="20">
        <v>10</v>
      </c>
      <c r="AI37" s="20">
        <v>15</v>
      </c>
      <c r="AJ37" s="20">
        <v>15</v>
      </c>
    </row>
    <row r="38" spans="1:36" ht="15.5" customHeight="1" x14ac:dyDescent="0.35">
      <c r="A38" s="21" t="s">
        <v>289</v>
      </c>
      <c r="B38" s="20">
        <v>15</v>
      </c>
      <c r="C38" s="20">
        <v>20</v>
      </c>
      <c r="D38" s="20">
        <v>15</v>
      </c>
      <c r="E38" s="20">
        <v>15</v>
      </c>
      <c r="F38" s="20">
        <v>15</v>
      </c>
      <c r="G38" s="20">
        <v>15</v>
      </c>
      <c r="H38" s="20">
        <v>15</v>
      </c>
      <c r="I38" s="20">
        <v>15</v>
      </c>
      <c r="J38" s="20">
        <v>15</v>
      </c>
      <c r="K38" s="20">
        <v>20</v>
      </c>
      <c r="L38" s="20">
        <v>15</v>
      </c>
      <c r="M38" s="20">
        <v>15</v>
      </c>
      <c r="N38" s="20">
        <v>15</v>
      </c>
      <c r="O38" s="20">
        <v>15</v>
      </c>
      <c r="P38" s="20">
        <v>15</v>
      </c>
      <c r="Q38" s="20">
        <v>15</v>
      </c>
      <c r="R38" s="20">
        <v>15</v>
      </c>
      <c r="S38" s="20">
        <v>20</v>
      </c>
      <c r="T38" s="20">
        <v>20</v>
      </c>
      <c r="U38" s="20">
        <v>15</v>
      </c>
      <c r="V38" s="20">
        <v>15</v>
      </c>
      <c r="W38" s="20">
        <v>15</v>
      </c>
      <c r="X38" s="20">
        <v>15</v>
      </c>
      <c r="Y38" s="20">
        <v>15</v>
      </c>
      <c r="Z38" s="20">
        <v>15</v>
      </c>
      <c r="AA38" s="20">
        <v>15</v>
      </c>
      <c r="AB38" s="20">
        <v>15</v>
      </c>
      <c r="AC38" s="20">
        <v>20</v>
      </c>
      <c r="AD38" s="20">
        <v>15</v>
      </c>
      <c r="AE38" s="20">
        <v>15</v>
      </c>
      <c r="AF38" s="20">
        <v>15</v>
      </c>
      <c r="AG38" s="20">
        <v>15</v>
      </c>
      <c r="AH38" s="20">
        <v>15</v>
      </c>
      <c r="AI38" s="20">
        <v>10</v>
      </c>
      <c r="AJ38" s="20">
        <v>15</v>
      </c>
    </row>
    <row r="39" spans="1:36" ht="15.5" customHeight="1" x14ac:dyDescent="0.35">
      <c r="A39" s="33" t="s">
        <v>210</v>
      </c>
      <c r="B39" s="20">
        <v>15</v>
      </c>
      <c r="C39" s="20">
        <v>20</v>
      </c>
      <c r="D39" s="20">
        <v>15</v>
      </c>
      <c r="E39" s="20">
        <v>15</v>
      </c>
      <c r="F39" s="20">
        <v>15</v>
      </c>
      <c r="G39" s="20">
        <v>15</v>
      </c>
      <c r="H39" s="20">
        <v>15</v>
      </c>
      <c r="I39" s="20">
        <v>15</v>
      </c>
      <c r="J39" s="20">
        <v>15</v>
      </c>
      <c r="K39" s="20">
        <v>20</v>
      </c>
      <c r="L39" s="20">
        <v>15</v>
      </c>
      <c r="M39" s="20">
        <v>15</v>
      </c>
      <c r="N39" s="20">
        <v>15</v>
      </c>
      <c r="O39" s="20">
        <v>15</v>
      </c>
      <c r="P39" s="20">
        <v>15</v>
      </c>
      <c r="Q39" s="20">
        <v>15</v>
      </c>
      <c r="R39" s="20">
        <v>15</v>
      </c>
      <c r="S39" s="20">
        <v>20</v>
      </c>
      <c r="T39" s="20">
        <v>20</v>
      </c>
      <c r="U39" s="20">
        <v>15</v>
      </c>
      <c r="V39" s="20">
        <v>15</v>
      </c>
      <c r="W39" s="20">
        <v>15</v>
      </c>
      <c r="X39" s="20">
        <v>15</v>
      </c>
      <c r="Y39" s="20">
        <v>15</v>
      </c>
      <c r="Z39" s="20">
        <v>15</v>
      </c>
      <c r="AA39" s="20">
        <v>15</v>
      </c>
      <c r="AB39" s="20">
        <v>15</v>
      </c>
      <c r="AC39" s="20">
        <v>20</v>
      </c>
      <c r="AD39" s="20">
        <v>15</v>
      </c>
      <c r="AE39" s="20">
        <v>15</v>
      </c>
      <c r="AF39" s="20">
        <v>15</v>
      </c>
      <c r="AG39" s="20">
        <v>15</v>
      </c>
      <c r="AH39" s="20">
        <v>15</v>
      </c>
      <c r="AI39" s="20">
        <v>15</v>
      </c>
      <c r="AJ39" s="20">
        <v>10</v>
      </c>
    </row>
  </sheetData>
  <mergeCells count="3">
    <mergeCell ref="B3:AJ3"/>
    <mergeCell ref="A2:AC2"/>
    <mergeCell ref="A1:A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86"/>
  <sheetViews>
    <sheetView tabSelected="1" zoomScale="71" zoomScaleNormal="35" workbookViewId="0">
      <selection activeCell="K11" sqref="K11"/>
    </sheetView>
  </sheetViews>
  <sheetFormatPr defaultRowHeight="14.5" x14ac:dyDescent="0.35"/>
  <cols>
    <col min="2" max="2" width="14" style="6" customWidth="1"/>
    <col min="3" max="3" width="18" style="14" customWidth="1"/>
    <col min="4" max="4" width="24.26953125" style="38" customWidth="1"/>
    <col min="7" max="7" width="11.1796875" bestFit="1" customWidth="1"/>
  </cols>
  <sheetData>
    <row r="1" spans="2:4" ht="18.5" customHeight="1" x14ac:dyDescent="0.45">
      <c r="B1" s="57" t="s">
        <v>0</v>
      </c>
      <c r="C1" s="58"/>
      <c r="D1" s="59"/>
    </row>
    <row r="2" spans="2:4" ht="35" customHeight="1" x14ac:dyDescent="0.35">
      <c r="B2" s="60" t="s">
        <v>1</v>
      </c>
      <c r="C2" s="58"/>
      <c r="D2" s="59"/>
    </row>
    <row r="4" spans="2:4" ht="15.5" customHeight="1" x14ac:dyDescent="0.35">
      <c r="B4" s="35" t="s">
        <v>2</v>
      </c>
      <c r="C4" s="13" t="s">
        <v>3</v>
      </c>
      <c r="D4" s="36" t="s">
        <v>4</v>
      </c>
    </row>
    <row r="5" spans="2:4" ht="15.5" customHeight="1" x14ac:dyDescent="0.35">
      <c r="B5" s="34" t="s">
        <v>5</v>
      </c>
      <c r="C5" s="34">
        <v>144</v>
      </c>
      <c r="D5" s="37">
        <v>46234</v>
      </c>
    </row>
    <row r="6" spans="2:4" ht="15.5" customHeight="1" x14ac:dyDescent="0.35">
      <c r="B6" s="34" t="s">
        <v>6</v>
      </c>
      <c r="C6" s="34">
        <v>140</v>
      </c>
      <c r="D6" s="37">
        <v>46234</v>
      </c>
    </row>
    <row r="7" spans="2:4" x14ac:dyDescent="0.35">
      <c r="B7" s="34" t="s">
        <v>7</v>
      </c>
      <c r="C7" s="34">
        <v>140</v>
      </c>
      <c r="D7" s="37">
        <v>46234</v>
      </c>
    </row>
    <row r="8" spans="2:4" x14ac:dyDescent="0.35">
      <c r="B8" s="34" t="s">
        <v>8</v>
      </c>
      <c r="C8" s="34">
        <v>128</v>
      </c>
      <c r="D8" s="37">
        <v>46234</v>
      </c>
    </row>
    <row r="9" spans="2:4" x14ac:dyDescent="0.35">
      <c r="B9" s="34" t="s">
        <v>9</v>
      </c>
      <c r="C9" s="34">
        <v>84</v>
      </c>
      <c r="D9" s="37">
        <v>46218</v>
      </c>
    </row>
    <row r="10" spans="2:4" x14ac:dyDescent="0.35">
      <c r="B10" s="34" t="s">
        <v>10</v>
      </c>
      <c r="C10" s="34">
        <v>84</v>
      </c>
      <c r="D10" s="37">
        <v>46234</v>
      </c>
    </row>
    <row r="11" spans="2:4" x14ac:dyDescent="0.35">
      <c r="B11" s="34" t="s">
        <v>11</v>
      </c>
      <c r="C11" s="34">
        <v>192</v>
      </c>
      <c r="D11" s="37">
        <v>46218</v>
      </c>
    </row>
    <row r="12" spans="2:4" x14ac:dyDescent="0.35">
      <c r="B12" s="34" t="s">
        <v>12</v>
      </c>
      <c r="C12" s="34">
        <v>72</v>
      </c>
      <c r="D12" s="37">
        <v>46234</v>
      </c>
    </row>
    <row r="13" spans="2:4" x14ac:dyDescent="0.35">
      <c r="B13" s="34" t="s">
        <v>13</v>
      </c>
      <c r="C13" s="34">
        <v>108</v>
      </c>
      <c r="D13" s="37">
        <v>46234</v>
      </c>
    </row>
    <row r="14" spans="2:4" x14ac:dyDescent="0.35">
      <c r="B14" s="34" t="s">
        <v>14</v>
      </c>
      <c r="C14" s="34">
        <v>432</v>
      </c>
      <c r="D14" s="37">
        <v>46218</v>
      </c>
    </row>
    <row r="15" spans="2:4" x14ac:dyDescent="0.35">
      <c r="B15" s="34" t="s">
        <v>15</v>
      </c>
      <c r="C15" s="34">
        <v>108</v>
      </c>
      <c r="D15" s="37">
        <v>46234</v>
      </c>
    </row>
    <row r="16" spans="2:4" x14ac:dyDescent="0.35">
      <c r="B16" s="34" t="s">
        <v>16</v>
      </c>
      <c r="C16" s="34">
        <v>108</v>
      </c>
      <c r="D16" s="37">
        <v>46234</v>
      </c>
    </row>
    <row r="17" spans="2:4" x14ac:dyDescent="0.35">
      <c r="B17" s="34" t="s">
        <v>17</v>
      </c>
      <c r="C17" s="34">
        <v>84</v>
      </c>
      <c r="D17" s="37">
        <v>46218</v>
      </c>
    </row>
    <row r="18" spans="2:4" x14ac:dyDescent="0.35">
      <c r="B18" s="34" t="s">
        <v>18</v>
      </c>
      <c r="C18" s="34">
        <v>54</v>
      </c>
      <c r="D18" s="37">
        <v>46234</v>
      </c>
    </row>
    <row r="19" spans="2:4" x14ac:dyDescent="0.35">
      <c r="B19" s="34" t="s">
        <v>19</v>
      </c>
      <c r="C19" s="34">
        <v>800</v>
      </c>
      <c r="D19" s="37">
        <v>46218</v>
      </c>
    </row>
    <row r="20" spans="2:4" x14ac:dyDescent="0.35">
      <c r="B20" s="34" t="s">
        <v>20</v>
      </c>
      <c r="C20" s="34">
        <v>800</v>
      </c>
      <c r="D20" s="37">
        <v>46218</v>
      </c>
    </row>
    <row r="21" spans="2:4" x14ac:dyDescent="0.35">
      <c r="B21" s="34" t="s">
        <v>21</v>
      </c>
      <c r="C21" s="34">
        <v>100</v>
      </c>
      <c r="D21" s="37">
        <v>46218</v>
      </c>
    </row>
    <row r="22" spans="2:4" x14ac:dyDescent="0.35">
      <c r="B22" s="34" t="s">
        <v>22</v>
      </c>
      <c r="C22" s="34">
        <v>116</v>
      </c>
      <c r="D22" s="37">
        <v>46234</v>
      </c>
    </row>
    <row r="23" spans="2:4" x14ac:dyDescent="0.35">
      <c r="B23" s="34" t="s">
        <v>23</v>
      </c>
      <c r="C23" s="34">
        <v>48</v>
      </c>
      <c r="D23" s="37">
        <v>46234</v>
      </c>
    </row>
    <row r="24" spans="2:4" x14ac:dyDescent="0.35">
      <c r="B24" s="34" t="s">
        <v>24</v>
      </c>
      <c r="C24" s="34">
        <v>144</v>
      </c>
      <c r="D24" s="37">
        <v>46234</v>
      </c>
    </row>
    <row r="25" spans="2:4" x14ac:dyDescent="0.35">
      <c r="B25" s="34" t="s">
        <v>25</v>
      </c>
      <c r="C25" s="34">
        <v>48</v>
      </c>
      <c r="D25" s="37">
        <v>46234</v>
      </c>
    </row>
    <row r="26" spans="2:4" x14ac:dyDescent="0.35">
      <c r="B26" s="34" t="s">
        <v>26</v>
      </c>
      <c r="C26" s="34">
        <v>96</v>
      </c>
      <c r="D26" s="37">
        <v>46234</v>
      </c>
    </row>
    <row r="27" spans="2:4" x14ac:dyDescent="0.35">
      <c r="B27" s="34" t="s">
        <v>27</v>
      </c>
      <c r="C27" s="34">
        <v>100</v>
      </c>
      <c r="D27" s="37">
        <v>46234</v>
      </c>
    </row>
    <row r="28" spans="2:4" x14ac:dyDescent="0.35">
      <c r="B28" s="34" t="s">
        <v>28</v>
      </c>
      <c r="C28" s="34">
        <v>48</v>
      </c>
      <c r="D28" s="37">
        <v>46234</v>
      </c>
    </row>
    <row r="29" spans="2:4" x14ac:dyDescent="0.35">
      <c r="B29" s="34" t="s">
        <v>29</v>
      </c>
      <c r="C29" s="34">
        <v>96</v>
      </c>
      <c r="D29" s="37">
        <v>46234</v>
      </c>
    </row>
    <row r="30" spans="2:4" x14ac:dyDescent="0.35">
      <c r="B30" s="34" t="s">
        <v>30</v>
      </c>
      <c r="C30" s="34">
        <v>200</v>
      </c>
      <c r="D30" s="37">
        <v>46234</v>
      </c>
    </row>
    <row r="31" spans="2:4" x14ac:dyDescent="0.35">
      <c r="B31" s="34" t="s">
        <v>31</v>
      </c>
      <c r="C31" s="34">
        <v>50</v>
      </c>
      <c r="D31" s="37">
        <v>46234</v>
      </c>
    </row>
    <row r="32" spans="2:4" x14ac:dyDescent="0.35">
      <c r="B32" s="34" t="s">
        <v>32</v>
      </c>
      <c r="C32" s="34">
        <v>240</v>
      </c>
      <c r="D32" s="37">
        <v>46234</v>
      </c>
    </row>
    <row r="33" spans="2:4" x14ac:dyDescent="0.35">
      <c r="B33" s="34" t="s">
        <v>33</v>
      </c>
      <c r="C33" s="34">
        <v>200</v>
      </c>
      <c r="D33" s="37">
        <v>46234</v>
      </c>
    </row>
    <row r="34" spans="2:4" x14ac:dyDescent="0.35">
      <c r="B34" s="34" t="s">
        <v>34</v>
      </c>
      <c r="C34" s="34">
        <v>100</v>
      </c>
      <c r="D34" s="37">
        <v>46234</v>
      </c>
    </row>
    <row r="35" spans="2:4" x14ac:dyDescent="0.35">
      <c r="B35" s="34" t="s">
        <v>35</v>
      </c>
      <c r="C35" s="34">
        <v>96</v>
      </c>
      <c r="D35" s="37">
        <v>46234</v>
      </c>
    </row>
    <row r="36" spans="2:4" x14ac:dyDescent="0.35">
      <c r="B36" s="34" t="s">
        <v>36</v>
      </c>
      <c r="C36" s="34">
        <v>120</v>
      </c>
      <c r="D36" s="37">
        <v>46234</v>
      </c>
    </row>
    <row r="37" spans="2:4" x14ac:dyDescent="0.35">
      <c r="B37" s="34" t="s">
        <v>37</v>
      </c>
      <c r="C37" s="34">
        <v>96</v>
      </c>
      <c r="D37" s="37">
        <v>46234</v>
      </c>
    </row>
    <row r="38" spans="2:4" x14ac:dyDescent="0.35">
      <c r="B38" s="34" t="s">
        <v>38</v>
      </c>
      <c r="C38" s="34">
        <v>156</v>
      </c>
      <c r="D38" s="37">
        <v>46234</v>
      </c>
    </row>
    <row r="39" spans="2:4" x14ac:dyDescent="0.35">
      <c r="B39" s="34" t="s">
        <v>39</v>
      </c>
      <c r="C39" s="34">
        <v>120</v>
      </c>
      <c r="D39" s="37">
        <v>46234</v>
      </c>
    </row>
    <row r="40" spans="2:4" x14ac:dyDescent="0.35">
      <c r="B40" s="34" t="s">
        <v>40</v>
      </c>
      <c r="C40" s="34">
        <v>144</v>
      </c>
      <c r="D40" s="37">
        <v>46234</v>
      </c>
    </row>
    <row r="41" spans="2:4" x14ac:dyDescent="0.35">
      <c r="B41" s="34" t="s">
        <v>41</v>
      </c>
      <c r="C41" s="34">
        <v>72</v>
      </c>
      <c r="D41" s="37">
        <v>46217</v>
      </c>
    </row>
    <row r="42" spans="2:4" x14ac:dyDescent="0.35">
      <c r="B42" s="34" t="s">
        <v>42</v>
      </c>
      <c r="C42" s="34">
        <v>72</v>
      </c>
      <c r="D42" s="37">
        <v>46234</v>
      </c>
    </row>
    <row r="43" spans="2:4" x14ac:dyDescent="0.35">
      <c r="B43" s="34" t="s">
        <v>43</v>
      </c>
      <c r="C43" s="34">
        <v>72</v>
      </c>
      <c r="D43" s="37">
        <v>46234</v>
      </c>
    </row>
    <row r="44" spans="2:4" x14ac:dyDescent="0.35">
      <c r="B44" s="34" t="s">
        <v>44</v>
      </c>
      <c r="C44" s="34">
        <v>88</v>
      </c>
      <c r="D44" s="37">
        <v>46234</v>
      </c>
    </row>
    <row r="45" spans="2:4" x14ac:dyDescent="0.35">
      <c r="B45" s="34" t="s">
        <v>45</v>
      </c>
      <c r="C45" s="34">
        <v>88</v>
      </c>
      <c r="D45" s="37">
        <v>46234</v>
      </c>
    </row>
    <row r="46" spans="2:4" x14ac:dyDescent="0.35">
      <c r="B46" s="34" t="s">
        <v>46</v>
      </c>
      <c r="C46" s="34">
        <v>352</v>
      </c>
      <c r="D46" s="37">
        <v>46234</v>
      </c>
    </row>
    <row r="47" spans="2:4" x14ac:dyDescent="0.35">
      <c r="B47" s="34" t="s">
        <v>47</v>
      </c>
      <c r="C47" s="34">
        <v>88</v>
      </c>
      <c r="D47" s="37">
        <v>46234</v>
      </c>
    </row>
    <row r="48" spans="2:4" x14ac:dyDescent="0.35">
      <c r="B48" s="34" t="s">
        <v>48</v>
      </c>
      <c r="C48" s="34">
        <v>88</v>
      </c>
      <c r="D48" s="37">
        <v>46234</v>
      </c>
    </row>
    <row r="49" spans="2:4" x14ac:dyDescent="0.35">
      <c r="B49" s="34" t="s">
        <v>49</v>
      </c>
      <c r="C49" s="34">
        <v>176</v>
      </c>
      <c r="D49" s="37">
        <v>46234</v>
      </c>
    </row>
    <row r="50" spans="2:4" x14ac:dyDescent="0.35">
      <c r="B50" s="34" t="s">
        <v>50</v>
      </c>
      <c r="C50" s="34">
        <v>88</v>
      </c>
      <c r="D50" s="37">
        <v>46234</v>
      </c>
    </row>
    <row r="51" spans="2:4" x14ac:dyDescent="0.35">
      <c r="B51" s="34" t="s">
        <v>51</v>
      </c>
      <c r="C51" s="34">
        <v>96</v>
      </c>
      <c r="D51" s="37">
        <v>46234</v>
      </c>
    </row>
    <row r="52" spans="2:4" x14ac:dyDescent="0.35">
      <c r="B52" s="34" t="s">
        <v>52</v>
      </c>
      <c r="C52" s="34">
        <v>63</v>
      </c>
      <c r="D52" s="37">
        <v>46234</v>
      </c>
    </row>
    <row r="53" spans="2:4" x14ac:dyDescent="0.35">
      <c r="B53" s="34" t="s">
        <v>53</v>
      </c>
      <c r="C53" s="34">
        <v>88</v>
      </c>
      <c r="D53" s="37">
        <v>46234</v>
      </c>
    </row>
    <row r="54" spans="2:4" x14ac:dyDescent="0.35">
      <c r="B54" s="37" t="s">
        <v>54</v>
      </c>
      <c r="C54" s="53">
        <v>168</v>
      </c>
      <c r="D54" s="37">
        <v>46234</v>
      </c>
    </row>
    <row r="55" spans="2:4" x14ac:dyDescent="0.35">
      <c r="B55" s="37" t="s">
        <v>55</v>
      </c>
      <c r="C55" s="53">
        <v>96</v>
      </c>
      <c r="D55" s="37">
        <v>46234</v>
      </c>
    </row>
    <row r="56" spans="2:4" x14ac:dyDescent="0.35">
      <c r="B56" s="37" t="s">
        <v>56</v>
      </c>
      <c r="C56" s="53">
        <v>96</v>
      </c>
      <c r="D56" s="37">
        <v>46234</v>
      </c>
    </row>
    <row r="57" spans="2:4" x14ac:dyDescent="0.35">
      <c r="B57" s="37" t="s">
        <v>57</v>
      </c>
      <c r="C57" s="53">
        <v>96</v>
      </c>
      <c r="D57" s="37">
        <v>46234</v>
      </c>
    </row>
    <row r="58" spans="2:4" x14ac:dyDescent="0.35">
      <c r="B58" s="37" t="s">
        <v>58</v>
      </c>
      <c r="C58" s="53">
        <v>48</v>
      </c>
      <c r="D58" s="37">
        <v>46234</v>
      </c>
    </row>
    <row r="59" spans="2:4" x14ac:dyDescent="0.35">
      <c r="B59" s="37" t="s">
        <v>59</v>
      </c>
      <c r="C59" s="53">
        <v>63</v>
      </c>
      <c r="D59" s="37">
        <v>46230</v>
      </c>
    </row>
    <row r="60" spans="2:4" x14ac:dyDescent="0.35">
      <c r="B60" s="37" t="s">
        <v>60</v>
      </c>
      <c r="C60" s="53">
        <v>2250</v>
      </c>
      <c r="D60" s="37">
        <v>46234</v>
      </c>
    </row>
    <row r="61" spans="2:4" x14ac:dyDescent="0.35">
      <c r="B61" s="37" t="s">
        <v>61</v>
      </c>
      <c r="C61" s="53">
        <v>2255</v>
      </c>
      <c r="D61" s="37">
        <v>46234</v>
      </c>
    </row>
    <row r="62" spans="2:4" x14ac:dyDescent="0.35">
      <c r="B62" s="37" t="s">
        <v>62</v>
      </c>
      <c r="C62" s="53">
        <v>32</v>
      </c>
      <c r="D62" s="37">
        <v>46234</v>
      </c>
    </row>
    <row r="63" spans="2:4" x14ac:dyDescent="0.35">
      <c r="B63" s="37" t="s">
        <v>63</v>
      </c>
      <c r="C63" s="53">
        <v>48</v>
      </c>
      <c r="D63" s="37">
        <v>46234</v>
      </c>
    </row>
    <row r="64" spans="2:4" x14ac:dyDescent="0.35">
      <c r="B64" s="37" t="s">
        <v>64</v>
      </c>
      <c r="C64" s="53">
        <v>64</v>
      </c>
      <c r="D64" s="37">
        <v>46234</v>
      </c>
    </row>
    <row r="65" spans="2:4" x14ac:dyDescent="0.35">
      <c r="B65" s="37" t="s">
        <v>65</v>
      </c>
      <c r="C65" s="53">
        <v>31</v>
      </c>
      <c r="D65" s="37">
        <v>46234</v>
      </c>
    </row>
    <row r="66" spans="2:4" x14ac:dyDescent="0.35">
      <c r="B66" s="37" t="s">
        <v>66</v>
      </c>
      <c r="C66" s="53">
        <v>32</v>
      </c>
      <c r="D66" s="37">
        <v>46234</v>
      </c>
    </row>
    <row r="67" spans="2:4" x14ac:dyDescent="0.35">
      <c r="B67" s="37" t="s">
        <v>67</v>
      </c>
      <c r="C67" s="53">
        <v>485</v>
      </c>
      <c r="D67" s="37">
        <v>46234</v>
      </c>
    </row>
    <row r="68" spans="2:4" x14ac:dyDescent="0.35">
      <c r="B68" s="37" t="s">
        <v>68</v>
      </c>
      <c r="C68" s="53">
        <v>53</v>
      </c>
      <c r="D68" s="37">
        <v>46234</v>
      </c>
    </row>
    <row r="69" spans="2:4" x14ac:dyDescent="0.35">
      <c r="B69" s="37" t="s">
        <v>69</v>
      </c>
      <c r="C69" s="53">
        <v>73</v>
      </c>
      <c r="D69" s="37">
        <v>46234</v>
      </c>
    </row>
    <row r="70" spans="2:4" x14ac:dyDescent="0.35">
      <c r="B70" s="37" t="s">
        <v>70</v>
      </c>
      <c r="C70" s="53">
        <v>149</v>
      </c>
      <c r="D70" s="37">
        <v>46234</v>
      </c>
    </row>
    <row r="71" spans="2:4" x14ac:dyDescent="0.35">
      <c r="B71" s="37" t="s">
        <v>71</v>
      </c>
      <c r="C71" s="53">
        <v>223</v>
      </c>
      <c r="D71" s="37">
        <v>46234</v>
      </c>
    </row>
    <row r="72" spans="2:4" x14ac:dyDescent="0.35">
      <c r="B72" s="37" t="s">
        <v>72</v>
      </c>
      <c r="C72" s="53">
        <v>221</v>
      </c>
      <c r="D72" s="37">
        <v>46234</v>
      </c>
    </row>
    <row r="73" spans="2:4" x14ac:dyDescent="0.35">
      <c r="B73" s="37" t="s">
        <v>73</v>
      </c>
      <c r="C73" s="53">
        <v>63</v>
      </c>
      <c r="D73" s="37">
        <v>46211</v>
      </c>
    </row>
    <row r="74" spans="2:4" x14ac:dyDescent="0.35">
      <c r="B74" s="37" t="s">
        <v>74</v>
      </c>
      <c r="C74" s="53">
        <v>54</v>
      </c>
      <c r="D74" s="37">
        <v>46206</v>
      </c>
    </row>
    <row r="75" spans="2:4" x14ac:dyDescent="0.35">
      <c r="B75" s="37" t="s">
        <v>75</v>
      </c>
      <c r="C75" s="53">
        <v>109</v>
      </c>
      <c r="D75" s="37">
        <v>46234</v>
      </c>
    </row>
    <row r="76" spans="2:4" x14ac:dyDescent="0.35">
      <c r="B76" s="37" t="s">
        <v>76</v>
      </c>
      <c r="C76" s="53">
        <v>1536</v>
      </c>
      <c r="D76" s="37">
        <v>46234</v>
      </c>
    </row>
    <row r="77" spans="2:4" x14ac:dyDescent="0.35">
      <c r="B77" s="37" t="s">
        <v>77</v>
      </c>
      <c r="C77" s="53">
        <v>128</v>
      </c>
      <c r="D77" s="37">
        <v>46234</v>
      </c>
    </row>
    <row r="78" spans="2:4" x14ac:dyDescent="0.35">
      <c r="B78" s="37" t="s">
        <v>78</v>
      </c>
      <c r="C78" s="53">
        <v>384</v>
      </c>
      <c r="D78" s="37">
        <v>46234</v>
      </c>
    </row>
    <row r="79" spans="2:4" x14ac:dyDescent="0.35">
      <c r="B79" s="37" t="s">
        <v>79</v>
      </c>
      <c r="C79" s="53">
        <v>256</v>
      </c>
      <c r="D79" s="37">
        <v>46234</v>
      </c>
    </row>
    <row r="80" spans="2:4" x14ac:dyDescent="0.35">
      <c r="B80" s="37" t="s">
        <v>80</v>
      </c>
      <c r="C80" s="53">
        <v>264</v>
      </c>
      <c r="D80" s="37">
        <v>46234</v>
      </c>
    </row>
    <row r="81" spans="2:4" x14ac:dyDescent="0.35">
      <c r="B81" s="37" t="s">
        <v>81</v>
      </c>
      <c r="C81" s="53">
        <v>254</v>
      </c>
      <c r="D81" s="37">
        <v>46234</v>
      </c>
    </row>
    <row r="82" spans="2:4" x14ac:dyDescent="0.35">
      <c r="B82" s="37" t="s">
        <v>82</v>
      </c>
      <c r="C82" s="53">
        <v>131</v>
      </c>
      <c r="D82" s="37">
        <v>46234</v>
      </c>
    </row>
    <row r="83" spans="2:4" x14ac:dyDescent="0.35">
      <c r="B83" s="37" t="s">
        <v>83</v>
      </c>
      <c r="C83" s="53">
        <v>112</v>
      </c>
      <c r="D83" s="37">
        <v>46234</v>
      </c>
    </row>
    <row r="84" spans="2:4" x14ac:dyDescent="0.35">
      <c r="B84" s="37" t="s">
        <v>84</v>
      </c>
      <c r="C84" s="53">
        <v>360</v>
      </c>
      <c r="D84" s="37">
        <v>46234</v>
      </c>
    </row>
    <row r="85" spans="2:4" x14ac:dyDescent="0.35">
      <c r="B85" s="37" t="s">
        <v>85</v>
      </c>
      <c r="C85" s="53">
        <v>126</v>
      </c>
      <c r="D85" s="37">
        <v>46234</v>
      </c>
    </row>
    <row r="86" spans="2:4" x14ac:dyDescent="0.35">
      <c r="B86" s="6" t="s">
        <v>86</v>
      </c>
      <c r="C86" s="14">
        <v>126</v>
      </c>
      <c r="D86" s="38">
        <v>46234</v>
      </c>
    </row>
  </sheetData>
  <mergeCells count="2">
    <mergeCell ref="B1:D1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"/>
  <sheetViews>
    <sheetView zoomScale="88" zoomScaleNormal="112" workbookViewId="0">
      <selection activeCell="B5" sqref="B5"/>
    </sheetView>
  </sheetViews>
  <sheetFormatPr defaultRowHeight="14.5" x14ac:dyDescent="0.35"/>
  <cols>
    <col min="1" max="1" width="38.1796875" bestFit="1" customWidth="1"/>
    <col min="4" max="4" width="13.81640625" bestFit="1" customWidth="1"/>
    <col min="5" max="5" width="62.453125" bestFit="1" customWidth="1"/>
    <col min="7" max="7" width="14.7265625" bestFit="1" customWidth="1"/>
    <col min="8" max="8" width="78.90625" bestFit="1" customWidth="1"/>
  </cols>
  <sheetData>
    <row r="1" spans="1:1" ht="18.5" customHeight="1" x14ac:dyDescent="0.45">
      <c r="A1" s="30" t="s">
        <v>546</v>
      </c>
    </row>
    <row r="2" spans="1:1" ht="35" customHeight="1" x14ac:dyDescent="0.35">
      <c r="A2" s="29" t="s">
        <v>547</v>
      </c>
    </row>
    <row r="4" spans="1:1" ht="15.5" customHeight="1" x14ac:dyDescent="0.35">
      <c r="A4" s="4" t="s">
        <v>548</v>
      </c>
    </row>
    <row r="5" spans="1:1" x14ac:dyDescent="0.35">
      <c r="A5" s="32">
        <v>46177</v>
      </c>
    </row>
    <row r="6" spans="1:1" x14ac:dyDescent="0.35">
      <c r="A6" s="32">
        <v>46178</v>
      </c>
    </row>
    <row r="7" spans="1:1" x14ac:dyDescent="0.35">
      <c r="A7" s="32">
        <v>46183</v>
      </c>
    </row>
    <row r="8" spans="1:1" x14ac:dyDescent="0.35">
      <c r="A8" s="32">
        <v>46188</v>
      </c>
    </row>
    <row r="9" spans="1:1" x14ac:dyDescent="0.35">
      <c r="A9" s="5"/>
    </row>
    <row r="10" spans="1:1" x14ac:dyDescent="0.35">
      <c r="A10" s="5"/>
    </row>
    <row r="11" spans="1:1" x14ac:dyDescent="0.35">
      <c r="A11" s="5"/>
    </row>
    <row r="12" spans="1:1" x14ac:dyDescent="0.35">
      <c r="A12" s="5"/>
    </row>
    <row r="13" spans="1:1" x14ac:dyDescent="0.35">
      <c r="A13" s="5"/>
    </row>
    <row r="14" spans="1:1" x14ac:dyDescent="0.35">
      <c r="A14" s="5"/>
    </row>
    <row r="15" spans="1:1" x14ac:dyDescent="0.35">
      <c r="A15" s="5"/>
    </row>
    <row r="16" spans="1:1" x14ac:dyDescent="0.35">
      <c r="A16" s="5"/>
    </row>
    <row r="72" spans="1:1" x14ac:dyDescent="0.35">
      <c r="A72" s="28"/>
    </row>
    <row r="73" spans="1:1" x14ac:dyDescent="0.35">
      <c r="A73" s="28"/>
    </row>
    <row r="74" spans="1:1" x14ac:dyDescent="0.35">
      <c r="A74" s="28"/>
    </row>
    <row r="75" spans="1:1" x14ac:dyDescent="0.35">
      <c r="A75" s="28"/>
    </row>
    <row r="76" spans="1:1" x14ac:dyDescent="0.35">
      <c r="A76" s="28"/>
    </row>
    <row r="77" spans="1:1" x14ac:dyDescent="0.35">
      <c r="A77" s="28"/>
    </row>
    <row r="78" spans="1:1" x14ac:dyDescent="0.35">
      <c r="A78" s="28"/>
    </row>
    <row r="79" spans="1:1" x14ac:dyDescent="0.35">
      <c r="A79" s="28"/>
    </row>
    <row r="80" spans="1:1" x14ac:dyDescent="0.35">
      <c r="A80" s="28"/>
    </row>
    <row r="81" spans="1:1" x14ac:dyDescent="0.35">
      <c r="A81" s="28"/>
    </row>
    <row r="82" spans="1:1" x14ac:dyDescent="0.35">
      <c r="A82" s="28"/>
    </row>
    <row r="83" spans="1:1" x14ac:dyDescent="0.35">
      <c r="A83" s="28"/>
    </row>
    <row r="84" spans="1:1" x14ac:dyDescent="0.35">
      <c r="A84" s="28"/>
    </row>
    <row r="85" spans="1:1" x14ac:dyDescent="0.35">
      <c r="A85" s="28"/>
    </row>
    <row r="86" spans="1:1" x14ac:dyDescent="0.35">
      <c r="A86" s="28"/>
    </row>
    <row r="87" spans="1:1" x14ac:dyDescent="0.35">
      <c r="A87" s="28"/>
    </row>
    <row r="88" spans="1:1" x14ac:dyDescent="0.35">
      <c r="A88" s="28"/>
    </row>
    <row r="89" spans="1:1" x14ac:dyDescent="0.35">
      <c r="A89" s="28"/>
    </row>
    <row r="90" spans="1:1" x14ac:dyDescent="0.35">
      <c r="A90" s="28"/>
    </row>
    <row r="91" spans="1:1" x14ac:dyDescent="0.35">
      <c r="A91" s="28"/>
    </row>
    <row r="92" spans="1:1" x14ac:dyDescent="0.35">
      <c r="A92" s="28"/>
    </row>
    <row r="93" spans="1:1" x14ac:dyDescent="0.35">
      <c r="A93" s="28"/>
    </row>
    <row r="94" spans="1:1" x14ac:dyDescent="0.35">
      <c r="A94" s="28"/>
    </row>
    <row r="95" spans="1:1" x14ac:dyDescent="0.35">
      <c r="A95" s="28"/>
    </row>
    <row r="96" spans="1:1" x14ac:dyDescent="0.35">
      <c r="A96" s="28"/>
    </row>
    <row r="97" spans="1:1" x14ac:dyDescent="0.35">
      <c r="A97" s="28"/>
    </row>
    <row r="98" spans="1:1" x14ac:dyDescent="0.35">
      <c r="A98" s="28"/>
    </row>
    <row r="99" spans="1:1" x14ac:dyDescent="0.35">
      <c r="A99" s="28"/>
    </row>
    <row r="100" spans="1:1" x14ac:dyDescent="0.35">
      <c r="A100" s="28"/>
    </row>
    <row r="101" spans="1:1" x14ac:dyDescent="0.35">
      <c r="A101" s="28"/>
    </row>
    <row r="102" spans="1:1" x14ac:dyDescent="0.35">
      <c r="A102" s="28"/>
    </row>
    <row r="103" spans="1:1" x14ac:dyDescent="0.35">
      <c r="A103" s="28"/>
    </row>
    <row r="104" spans="1:1" x14ac:dyDescent="0.35">
      <c r="A104" s="2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1_ESTRUTURA</vt:lpstr>
      <vt:lpstr>2_REFERENCIAS</vt:lpstr>
      <vt:lpstr>3_SETUPS</vt:lpstr>
      <vt:lpstr>5_PROCURA</vt:lpstr>
      <vt:lpstr>6_FERIADOS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 Primor</cp:lastModifiedBy>
  <dcterms:created xsi:type="dcterms:W3CDTF">2026-05-02T17:19:00Z</dcterms:created>
  <dcterms:modified xsi:type="dcterms:W3CDTF">2026-07-04T13:53:16Z</dcterms:modified>
</cp:coreProperties>
</file>